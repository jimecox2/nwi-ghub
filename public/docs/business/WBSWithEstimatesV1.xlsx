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BSNew" sheetId="1" state="visible" r:id="rId3"/>
    <sheet name="Assumptions" sheetId="2" state="visible" r:id="rId4"/>
  </sheets>
  <definedNames>
    <definedName function="false" hidden="true" localSheetId="0" name="_xlnm._FilterDatabase" vbProcedure="false">WBSNew!$A$1:$H$93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<sst xmlns="http://schemas.openxmlformats.org/spreadsheetml/2006/main" count="428" uniqueCount="251">
  <si>
    <t xml:space="preserve">L1</t>
  </si>
  <si>
    <t xml:space="preserve">L2</t>
  </si>
  <si>
    <t xml:space="preserve">L3</t>
  </si>
  <si>
    <t xml:space="preserve">WBS No</t>
  </si>
  <si>
    <t xml:space="preserve">WBSTitle</t>
  </si>
  <si>
    <t xml:space="preserve">Standard Cost</t>
  </si>
  <si>
    <t xml:space="preserve">Standard Delivery in Calendar Days</t>
  </si>
  <si>
    <t xml:space="preserve">Effort/Hours</t>
  </si>
  <si>
    <t xml:space="preserve">C</t>
  </si>
  <si>
    <t xml:space="preserve">Components</t>
  </si>
  <si>
    <t xml:space="preserve">BBS</t>
  </si>
  <si>
    <t xml:space="preserve">C-BBS</t>
  </si>
  <si>
    <t xml:space="preserve">Bandwidth Backhaul System</t>
  </si>
  <si>
    <t xml:space="preserve">ANT</t>
  </si>
  <si>
    <t xml:space="preserve">C-BBS-ANT</t>
  </si>
  <si>
    <t xml:space="preserve">Antenna - Bandwidth Backhaul System</t>
  </si>
  <si>
    <t xml:space="preserve">CBL</t>
  </si>
  <si>
    <t xml:space="preserve">C-BBS-CBL</t>
  </si>
  <si>
    <t xml:space="preserve">Cable Coax - Bandwidth Backhaul System</t>
  </si>
  <si>
    <t xml:space="preserve">CON</t>
  </si>
  <si>
    <t xml:space="preserve">C-BBS-CON</t>
  </si>
  <si>
    <t xml:space="preserve">Connectors - Bandwidth Backhaul System</t>
  </si>
  <si>
    <t xml:space="preserve">BCS</t>
  </si>
  <si>
    <t xml:space="preserve">C-BCS</t>
  </si>
  <si>
    <t xml:space="preserve">Bandwidth Control System</t>
  </si>
  <si>
    <t xml:space="preserve">C-BCS-CBL</t>
  </si>
  <si>
    <t xml:space="preserve">Cables - Bandwidth Control System</t>
  </si>
  <si>
    <t xml:space="preserve">CHW</t>
  </si>
  <si>
    <t xml:space="preserve">C-BCS-CHW</t>
  </si>
  <si>
    <t xml:space="preserve">Computer Hardware - Bandwidth Control System</t>
  </si>
  <si>
    <t xml:space="preserve">CSW</t>
  </si>
  <si>
    <t xml:space="preserve">C-BCS-CSW</t>
  </si>
  <si>
    <t xml:space="preserve">Computer SW - Bandwidth Control System</t>
  </si>
  <si>
    <t xml:space="preserve">BDS</t>
  </si>
  <si>
    <t xml:space="preserve">C-BDS</t>
  </si>
  <si>
    <t xml:space="preserve">Bandwidth Distrubution System</t>
  </si>
  <si>
    <t xml:space="preserve">AMP</t>
  </si>
  <si>
    <t xml:space="preserve">C-BDS-AMP</t>
  </si>
  <si>
    <t xml:space="preserve">Amplifier - Bandwidth Distrubution System</t>
  </si>
  <si>
    <t xml:space="preserve">C-BDS-ANT</t>
  </si>
  <si>
    <t xml:space="preserve">Antenna - Bandwidth Distrubution System</t>
  </si>
  <si>
    <t xml:space="preserve">APC</t>
  </si>
  <si>
    <t xml:space="preserve">C-BDS-APC</t>
  </si>
  <si>
    <t xml:space="preserve">Access Point Cabinet - Bandwidth Distrubution System</t>
  </si>
  <si>
    <t xml:space="preserve">C-BDS-CBL</t>
  </si>
  <si>
    <t xml:space="preserve">Cable - Bandwidth Distrubution System</t>
  </si>
  <si>
    <t xml:space="preserve">C-BDS-CON</t>
  </si>
  <si>
    <t xml:space="preserve">Connectors - Bandwidth Distrubution System</t>
  </si>
  <si>
    <t xml:space="preserve">LGP</t>
  </si>
  <si>
    <t xml:space="preserve">C-BDS-LGP</t>
  </si>
  <si>
    <t xml:space="preserve">Lightning Protectors - Bandwidth Distrubution System</t>
  </si>
  <si>
    <t xml:space="preserve">POE</t>
  </si>
  <si>
    <t xml:space="preserve">C-BDS-POE</t>
  </si>
  <si>
    <t xml:space="preserve">Power Over Ethernet - Bandwidth Distrubution System</t>
  </si>
  <si>
    <t xml:space="preserve">WAP</t>
  </si>
  <si>
    <t xml:space="preserve">C-BDS-WAP</t>
  </si>
  <si>
    <t xml:space="preserve">Wireless Access Point - Bandwidth Distrubution System</t>
  </si>
  <si>
    <t xml:space="preserve">BSS</t>
  </si>
  <si>
    <t xml:space="preserve">C-BSS</t>
  </si>
  <si>
    <t xml:space="preserve">Bandwidth Supply system</t>
  </si>
  <si>
    <t xml:space="preserve">C-BSS-CBL</t>
  </si>
  <si>
    <t xml:space="preserve">Cable - Bandwidth Supply system</t>
  </si>
  <si>
    <t xml:space="preserve">EQB</t>
  </si>
  <si>
    <t xml:space="preserve">C-BSS-EQB</t>
  </si>
  <si>
    <t xml:space="preserve">Equipment Building - Bandwidth Supply System</t>
  </si>
  <si>
    <t xml:space="preserve">RTR</t>
  </si>
  <si>
    <t xml:space="preserve">C-BSS-RTR</t>
  </si>
  <si>
    <t xml:space="preserve">Router - Bandwidth Supply system</t>
  </si>
  <si>
    <t xml:space="preserve">CPE</t>
  </si>
  <si>
    <t xml:space="preserve">C-CPE</t>
  </si>
  <si>
    <t xml:space="preserve">Customer Premise Equipment</t>
  </si>
  <si>
    <t xml:space="preserve">C-CPE-ANT</t>
  </si>
  <si>
    <t xml:space="preserve">Antenna - Customer Premise Equipment</t>
  </si>
  <si>
    <t xml:space="preserve">BRK</t>
  </si>
  <si>
    <t xml:space="preserve">C-CPE-BRK</t>
  </si>
  <si>
    <t xml:space="preserve">Brackets - Customer Premise Equipment</t>
  </si>
  <si>
    <t xml:space="preserve">C-CPE-CBL</t>
  </si>
  <si>
    <t xml:space="preserve">Cable - Customer Premise Equipment</t>
  </si>
  <si>
    <t xml:space="preserve">CWD</t>
  </si>
  <si>
    <t xml:space="preserve">C-CPE-CWD</t>
  </si>
  <si>
    <t xml:space="preserve">Wireless Device - Customer Premise Equipment</t>
  </si>
  <si>
    <t xml:space="preserve">NSS</t>
  </si>
  <si>
    <t xml:space="preserve">C-NSS</t>
  </si>
  <si>
    <t xml:space="preserve">Network Server System</t>
  </si>
  <si>
    <t xml:space="preserve">C-NSS-CHW</t>
  </si>
  <si>
    <t xml:space="preserve">Computer Hardware - Network Server System</t>
  </si>
  <si>
    <t xml:space="preserve">C-NSS-CSW</t>
  </si>
  <si>
    <t xml:space="preserve">Computer Software - Network Server System</t>
  </si>
  <si>
    <t xml:space="preserve">TWR</t>
  </si>
  <si>
    <t xml:space="preserve">C-TWR</t>
  </si>
  <si>
    <t xml:space="preserve">Tower System</t>
  </si>
  <si>
    <t xml:space="preserve">FRM</t>
  </si>
  <si>
    <t xml:space="preserve">C-TWR-FRM</t>
  </si>
  <si>
    <t xml:space="preserve">Tower Frame - Tower System</t>
  </si>
  <si>
    <t xml:space="preserve">BLD</t>
  </si>
  <si>
    <t xml:space="preserve">C-TWR-BLD</t>
  </si>
  <si>
    <t xml:space="preserve">Building - Tower System</t>
  </si>
  <si>
    <t xml:space="preserve">C-TWR-BRK</t>
  </si>
  <si>
    <t xml:space="preserve">Brackets - Tower System</t>
  </si>
  <si>
    <t xml:space="preserve">FDN</t>
  </si>
  <si>
    <t xml:space="preserve">C-TWR-FDN</t>
  </si>
  <si>
    <t xml:space="preserve">Foundaton - Tower System</t>
  </si>
  <si>
    <t xml:space="preserve">FEN</t>
  </si>
  <si>
    <t xml:space="preserve">C-TWR-FEN</t>
  </si>
  <si>
    <t xml:space="preserve">Fence - Tower System</t>
  </si>
  <si>
    <t xml:space="preserve">UCS</t>
  </si>
  <si>
    <t xml:space="preserve">C-UCS</t>
  </si>
  <si>
    <t xml:space="preserve">Unified Communication System</t>
  </si>
  <si>
    <t xml:space="preserve">C-UCS-CBL</t>
  </si>
  <si>
    <t xml:space="preserve">Cable - Unified Communication System</t>
  </si>
  <si>
    <t xml:space="preserve">C-UCS-CHW</t>
  </si>
  <si>
    <t xml:space="preserve">Computer Hardware - Unified Communication System</t>
  </si>
  <si>
    <t xml:space="preserve">C-UCS-CSW</t>
  </si>
  <si>
    <t xml:space="preserve">Computer SW - Unified Communication System</t>
  </si>
  <si>
    <t xml:space="preserve">PBX</t>
  </si>
  <si>
    <t xml:space="preserve">C-UCS-PBX</t>
  </si>
  <si>
    <t xml:space="preserve">Private Branch Exchange - Unified Communication System</t>
  </si>
  <si>
    <t xml:space="preserve">C-UCS-RTR</t>
  </si>
  <si>
    <t xml:space="preserve">Router - Unified Communication System</t>
  </si>
  <si>
    <t xml:space="preserve">SIP</t>
  </si>
  <si>
    <t xml:space="preserve">C-UCS-SIP</t>
  </si>
  <si>
    <t xml:space="preserve">SIP Trunk - Unified Communication System</t>
  </si>
  <si>
    <t xml:space="preserve">SPH</t>
  </si>
  <si>
    <t xml:space="preserve">C-UCS-SPH</t>
  </si>
  <si>
    <t xml:space="preserve">Smart Phone - Unified Communication System</t>
  </si>
  <si>
    <t xml:space="preserve">ASY</t>
  </si>
  <si>
    <t xml:space="preserve">C-BRK-ASY</t>
  </si>
  <si>
    <t xml:space="preserve">Assembly - Brackets</t>
  </si>
  <si>
    <t xml:space="preserve">CAB</t>
  </si>
  <si>
    <t xml:space="preserve">C-CAB-ASY</t>
  </si>
  <si>
    <t xml:space="preserve">Assembly - Cabinet</t>
  </si>
  <si>
    <t xml:space="preserve">C-CBL-ASY</t>
  </si>
  <si>
    <t xml:space="preserve">Assembly - Coax Cable</t>
  </si>
  <si>
    <t xml:space="preserve">E</t>
  </si>
  <si>
    <t xml:space="preserve">Engineering</t>
  </si>
  <si>
    <t xml:space="preserve">ENG</t>
  </si>
  <si>
    <t xml:space="preserve">E-BBS</t>
  </si>
  <si>
    <t xml:space="preserve">Engineering Bandwidth Backhaul System</t>
  </si>
  <si>
    <t xml:space="preserve">E-BCS</t>
  </si>
  <si>
    <t xml:space="preserve">Engineering - Bandwidth Control System</t>
  </si>
  <si>
    <t xml:space="preserve">E-BDS</t>
  </si>
  <si>
    <t xml:space="preserve">Engineering - Bandwidth Distrubution System</t>
  </si>
  <si>
    <t xml:space="preserve">E-BSS</t>
  </si>
  <si>
    <t xml:space="preserve">Engineering - Bandwidth Supply system</t>
  </si>
  <si>
    <t xml:space="preserve">E-CPE</t>
  </si>
  <si>
    <t xml:space="preserve">Engineering - Customer Premise Equipment</t>
  </si>
  <si>
    <t xml:space="preserve">E-NSS</t>
  </si>
  <si>
    <t xml:space="preserve">Engineering - Network Server System</t>
  </si>
  <si>
    <t xml:space="preserve">E-TWR</t>
  </si>
  <si>
    <t xml:space="preserve">Engineering - Tower System</t>
  </si>
  <si>
    <t xml:space="preserve">E-UCS</t>
  </si>
  <si>
    <t xml:space="preserve">Engineering - Unified Communication System</t>
  </si>
  <si>
    <t xml:space="preserve">E-SVT</t>
  </si>
  <si>
    <t xml:space="preserve">Site visit 2 days</t>
  </si>
  <si>
    <t xml:space="preserve">E-SST</t>
  </si>
  <si>
    <t xml:space="preserve">Site study</t>
  </si>
  <si>
    <t xml:space="preserve">E-SLD</t>
  </si>
  <si>
    <t xml:space="preserve">Site layout drawing</t>
  </si>
  <si>
    <t xml:space="preserve">E-NDD</t>
  </si>
  <si>
    <t xml:space="preserve">Network design and drawing</t>
  </si>
  <si>
    <t xml:space="preserve">E-TMN</t>
  </si>
  <si>
    <t xml:space="preserve">Technical Manual</t>
  </si>
  <si>
    <t xml:space="preserve">I</t>
  </si>
  <si>
    <t xml:space="preserve">Installation</t>
  </si>
  <si>
    <t xml:space="preserve">INS</t>
  </si>
  <si>
    <t xml:space="preserve">I-BBS</t>
  </si>
  <si>
    <t xml:space="preserve">Install - Bandwidth Backhaul System</t>
  </si>
  <si>
    <t xml:space="preserve">I-BCS</t>
  </si>
  <si>
    <t xml:space="preserve">Install - Bandwidth Control System</t>
  </si>
  <si>
    <t xml:space="preserve">I-BDS</t>
  </si>
  <si>
    <t xml:space="preserve">Install - Bandwidth Distrubution System</t>
  </si>
  <si>
    <t xml:space="preserve">I-BSS</t>
  </si>
  <si>
    <t xml:space="preserve">Install - Bandwidth Supply System</t>
  </si>
  <si>
    <t xml:space="preserve">I-CPE</t>
  </si>
  <si>
    <t xml:space="preserve">Install - Customer Premise Equipment</t>
  </si>
  <si>
    <t xml:space="preserve">I-NSS</t>
  </si>
  <si>
    <t xml:space="preserve">Install - Network Server System</t>
  </si>
  <si>
    <t xml:space="preserve">I-TWR</t>
  </si>
  <si>
    <t xml:space="preserve">Install - Tower System</t>
  </si>
  <si>
    <t xml:space="preserve">I-UCS</t>
  </si>
  <si>
    <t xml:space="preserve">Install - Unified Communication System</t>
  </si>
  <si>
    <t xml:space="preserve">S</t>
  </si>
  <si>
    <t xml:space="preserve">Start-up</t>
  </si>
  <si>
    <t xml:space="preserve">STP</t>
  </si>
  <si>
    <t xml:space="preserve">S-BBS</t>
  </si>
  <si>
    <t xml:space="preserve">Startup - Bandwidth Backhaul System</t>
  </si>
  <si>
    <t xml:space="preserve">S-BCS</t>
  </si>
  <si>
    <t xml:space="preserve">Startup - Bandwidth Control System</t>
  </si>
  <si>
    <t xml:space="preserve">S-BDS</t>
  </si>
  <si>
    <t xml:space="preserve">Startup - Bandwidth Distrubution System</t>
  </si>
  <si>
    <t xml:space="preserve">S-BSS</t>
  </si>
  <si>
    <t xml:space="preserve">Startup - Bandwidth Supply system</t>
  </si>
  <si>
    <t xml:space="preserve">S-CPE</t>
  </si>
  <si>
    <t xml:space="preserve">Startup - Customer Premise Equipment</t>
  </si>
  <si>
    <t xml:space="preserve">S-NSS</t>
  </si>
  <si>
    <t xml:space="preserve">Startup - Network Server System</t>
  </si>
  <si>
    <t xml:space="preserve">S-TWR</t>
  </si>
  <si>
    <t xml:space="preserve">Startup - Tower System</t>
  </si>
  <si>
    <t xml:space="preserve">S-UCS</t>
  </si>
  <si>
    <t xml:space="preserve">Startup - Unified Communication System</t>
  </si>
  <si>
    <t xml:space="preserve">T</t>
  </si>
  <si>
    <t xml:space="preserve">Toubleshooting</t>
  </si>
  <si>
    <t xml:space="preserve">BCU</t>
  </si>
  <si>
    <t xml:space="preserve">Bandwidth Control Unit</t>
  </si>
  <si>
    <t xml:space="preserve">SPT</t>
  </si>
  <si>
    <t xml:space="preserve">T-BCU</t>
  </si>
  <si>
    <t xml:space="preserve">Support - Bandwidth Control Unit</t>
  </si>
  <si>
    <t xml:space="preserve">Computer Software</t>
  </si>
  <si>
    <t xml:space="preserve">T-CSW</t>
  </si>
  <si>
    <t xml:space="preserve">Support - Computer Software</t>
  </si>
  <si>
    <t xml:space="preserve">Customer Wireless Device</t>
  </si>
  <si>
    <t xml:space="preserve">T-CWD</t>
  </si>
  <si>
    <t xml:space="preserve">Support - Customer Wireless Device</t>
  </si>
  <si>
    <t xml:space="preserve">Router</t>
  </si>
  <si>
    <t xml:space="preserve">T-RTR</t>
  </si>
  <si>
    <t xml:space="preserve">Support - Router</t>
  </si>
  <si>
    <t xml:space="preserve">General Support</t>
  </si>
  <si>
    <t xml:space="preserve">T-SPT</t>
  </si>
  <si>
    <t xml:space="preserve">Support - General Support</t>
  </si>
  <si>
    <t xml:space="preserve">Wireless Access Point</t>
  </si>
  <si>
    <t xml:space="preserve">T-WAP</t>
  </si>
  <si>
    <t xml:space="preserve">Support - Wireless Access Point</t>
  </si>
  <si>
    <t xml:space="preserve">WBS Estimate Assumptions (mock/ballpark figures)</t>
  </si>
  <si>
    <t xml:space="preserve">Internal labor day rate: $400/day (8 hrs) = $50/hr.</t>
  </si>
  <si>
    <t xml:space="preserve">  Source: Sample_Cost.xls, 'Estimate' tab, note '400/day is our cost'.</t>
  </si>
  <si>
    <t xml:space="preserve">Engineering site-task costs (Site visit, Site study, Site layout drawing,</t>
  </si>
  <si>
    <t xml:space="preserve">Network design and drawing, Technical Manual) taken directly from</t>
  </si>
  <si>
    <t xml:space="preserve">Sample_Cost.xls 'Estimate' tab, 'Our Cost Total' column, rows 6-10.</t>
  </si>
  <si>
    <t xml:space="preserve">Other Engineering, Installation, Startup, and Troubleshooting line items are</t>
  </si>
  <si>
    <t xml:space="preserve">estimated by analogy at the same $400/day rate, scaled to a reasonable</t>
  </si>
  <si>
    <t xml:space="preserve">number of days per subsystem - not sourced from the sample file.</t>
  </si>
  <si>
    <t xml:space="preserve">Purchasing Support rows represent internal procurement/admin labor</t>
  </si>
  <si>
    <t xml:space="preserve">(0.5-1 day per item), based on Sample_Cost.xls 'Procurement time' line</t>
  </si>
  <si>
    <t xml:space="preserve">(2 days / $800). Separate from the vendor purchase cost, tracked under C.</t>
  </si>
  <si>
    <t xml:space="preserve">Components (C) Standard Cost = estimated vendor supply cost; Effort/Hours</t>
  </si>
  <si>
    <t xml:space="preserve">is left blank for all C rows since it is external vendor work.</t>
  </si>
  <si>
    <t xml:space="preserve">Costs for Tower POP, Backhaul, Wired Network, and Premise Equipment items</t>
  </si>
  <si>
    <t xml:space="preserve">are approximated from Sample_Cost.xls 'Our Cost Total' column; items with</t>
  </si>
  <si>
    <t xml:space="preserve">no equivalent in the sample are estimated by analogy.</t>
  </si>
  <si>
    <t xml:space="preserve">Components (C) Standard Delivery = estimated vendor lead time in calendar</t>
  </si>
  <si>
    <t xml:space="preserve">days: ~7-14 days for stock hardware, ~14-21 days for specialized</t>
  </si>
  <si>
    <t xml:space="preserve">electronics, ~21-30 days for structural items.</t>
  </si>
  <si>
    <t xml:space="preserve">Components parent/system rows (e.g. C-BDS) use =SUM() of child rows for</t>
  </si>
  <si>
    <t xml:space="preserve">Standard Cost and =MAX() for Standard Delivery.</t>
  </si>
  <si>
    <t xml:space="preserve">L1/L2/L3 numbering (Components only, for now): L1=C, L2=system or item</t>
  </si>
  <si>
    <t xml:space="preserve">code, L3=sub-component or process code; WBS No = L1-L2[-L3]. The former</t>
  </si>
  <si>
    <t xml:space="preserve">Assembly (A) section was folded into Components under this scheme:</t>
  </si>
  <si>
    <t xml:space="preserve">e.g. Assembly - Brackets is now C-BRK-ASY (L2=BRK item, L3=ASY process).</t>
  </si>
  <si>
    <t xml:space="preserve">All hardcoded cost/delivery/hours cells are mock estimates (blue font) for</t>
  </si>
  <si>
    <t xml:space="preserve">planning purposes only and should be validated against real vendor quotes</t>
  </si>
  <si>
    <t xml:space="preserve">and current labor rates before use in an actual customer quote.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</si>
</sst>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3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68359375" defaultRowHeight="15" customHeight="false" zeroHeight="false" outlineLevelRow="0" outlineLevelCol="0"/>
  <cols>
    <col collapsed="false" customWidth="true" hidden="false" outlineLevel="0" max="3" min="1" style="1" width="8"/>
    <col collapsed="false" customWidth="true" hidden="false" outlineLevel="0" max="4" min="4" style="0" width="14"/>
    <col collapsed="false" customWidth="true" hidden="false" outlineLevel="0" max="5" min="5" style="1" width="42"/>
    <col collapsed="false" customWidth="true" hidden="false" outlineLevel="0" max="7" min="6" style="1" width="14"/>
    <col collapsed="false" customWidth="true" hidden="false" outlineLevel="0" max="8" min="8" style="1" width="1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="5" customFormat="true" ht="15" hidden="false" customHeight="false" outlineLevel="0" collapsed="false">
      <c r="A2" s="4" t="s">
        <v>8</v>
      </c>
      <c r="B2" s="4"/>
      <c r="C2" s="4"/>
      <c r="D2" s="0"/>
      <c r="E2" s="4" t="s">
        <v>9</v>
      </c>
      <c r="F2" s="4"/>
      <c r="G2" s="4"/>
      <c r="H2" s="4"/>
    </row>
    <row r="3" customFormat="false" ht="15" hidden="false" customHeight="false" outlineLevel="0" collapsed="false">
      <c r="A3" s="1" t="s">
        <v>8</v>
      </c>
      <c r="B3" s="1" t="s">
        <v>10</v>
      </c>
      <c r="D3" s="0" t="s">
        <v>11</v>
      </c>
      <c r="E3" s="1" t="s">
        <v>12</v>
      </c>
      <c r="F3" s="6" t="n">
        <f aca="false">SUM(F4,F5,F6)</f>
        <v>4300</v>
      </c>
      <c r="G3" s="7" t="n">
        <f aca="false">MAX(G4,G5,G6)</f>
        <v>21</v>
      </c>
    </row>
    <row r="4" customFormat="false" ht="15" hidden="false" customHeight="false" outlineLevel="0" collapsed="false">
      <c r="A4" s="1" t="s">
        <v>8</v>
      </c>
      <c r="B4" s="1" t="s">
        <v>10</v>
      </c>
      <c r="C4" s="1" t="s">
        <v>13</v>
      </c>
      <c r="D4" s="0" t="s">
        <v>14</v>
      </c>
      <c r="E4" s="2" t="s">
        <v>15</v>
      </c>
      <c r="F4" s="8" t="n">
        <v>4000</v>
      </c>
      <c r="G4" s="9" t="n">
        <v>21</v>
      </c>
    </row>
    <row r="5" customFormat="false" ht="15" hidden="false" customHeight="false" outlineLevel="0" collapsed="false">
      <c r="A5" s="1" t="s">
        <v>8</v>
      </c>
      <c r="B5" s="1" t="s">
        <v>10</v>
      </c>
      <c r="C5" s="1" t="s">
        <v>16</v>
      </c>
      <c r="D5" s="0" t="s">
        <v>17</v>
      </c>
      <c r="E5" s="2" t="s">
        <v>18</v>
      </c>
      <c r="F5" s="8" t="n">
        <v>200</v>
      </c>
      <c r="G5" s="9" t="n">
        <v>10</v>
      </c>
    </row>
    <row r="6" customFormat="false" ht="15" hidden="false" customHeight="false" outlineLevel="0" collapsed="false">
      <c r="A6" s="1" t="s">
        <v>8</v>
      </c>
      <c r="B6" s="1" t="s">
        <v>10</v>
      </c>
      <c r="C6" s="1" t="s">
        <v>19</v>
      </c>
      <c r="D6" s="0" t="s">
        <v>20</v>
      </c>
      <c r="E6" s="2" t="s">
        <v>21</v>
      </c>
      <c r="F6" s="8" t="n">
        <v>100</v>
      </c>
      <c r="G6" s="9" t="n">
        <v>7</v>
      </c>
    </row>
    <row r="7" customFormat="false" ht="15" hidden="false" customHeight="false" outlineLevel="0" collapsed="false">
      <c r="A7" s="1" t="s">
        <v>8</v>
      </c>
      <c r="B7" s="1" t="s">
        <v>22</v>
      </c>
      <c r="D7" s="0" t="s">
        <v>23</v>
      </c>
      <c r="E7" s="1" t="s">
        <v>24</v>
      </c>
      <c r="F7" s="6" t="n">
        <f aca="false">SUM(F8,F9,F10)</f>
        <v>5800</v>
      </c>
      <c r="G7" s="7" t="n">
        <f aca="false">MAX(G8,G9,G10)</f>
        <v>21</v>
      </c>
    </row>
    <row r="8" customFormat="false" ht="15" hidden="false" customHeight="false" outlineLevel="0" collapsed="false">
      <c r="A8" s="1" t="s">
        <v>8</v>
      </c>
      <c r="B8" s="1" t="s">
        <v>22</v>
      </c>
      <c r="C8" s="1" t="s">
        <v>16</v>
      </c>
      <c r="D8" s="0" t="s">
        <v>25</v>
      </c>
      <c r="E8" s="2" t="s">
        <v>26</v>
      </c>
      <c r="F8" s="8" t="n">
        <v>300</v>
      </c>
      <c r="G8" s="9" t="n">
        <v>10</v>
      </c>
    </row>
    <row r="9" customFormat="false" ht="15" hidden="false" customHeight="false" outlineLevel="0" collapsed="false">
      <c r="A9" s="1" t="s">
        <v>8</v>
      </c>
      <c r="B9" s="1" t="s">
        <v>22</v>
      </c>
      <c r="C9" s="1" t="s">
        <v>27</v>
      </c>
      <c r="D9" s="0" t="s">
        <v>28</v>
      </c>
      <c r="E9" s="2" t="s">
        <v>29</v>
      </c>
      <c r="F9" s="8" t="n">
        <v>4000</v>
      </c>
      <c r="G9" s="9" t="n">
        <v>21</v>
      </c>
    </row>
    <row r="10" customFormat="false" ht="15" hidden="false" customHeight="false" outlineLevel="0" collapsed="false">
      <c r="A10" s="1" t="s">
        <v>8</v>
      </c>
      <c r="B10" s="1" t="s">
        <v>22</v>
      </c>
      <c r="C10" s="1" t="s">
        <v>30</v>
      </c>
      <c r="D10" s="0" t="s">
        <v>31</v>
      </c>
      <c r="E10" s="2" t="s">
        <v>32</v>
      </c>
      <c r="F10" s="8" t="n">
        <v>1500</v>
      </c>
      <c r="G10" s="9" t="n">
        <v>14</v>
      </c>
    </row>
    <row r="11" customFormat="false" ht="15" hidden="false" customHeight="false" outlineLevel="0" collapsed="false">
      <c r="A11" s="1" t="s">
        <v>8</v>
      </c>
      <c r="B11" s="1" t="s">
        <v>33</v>
      </c>
      <c r="D11" s="0" t="s">
        <v>34</v>
      </c>
      <c r="E11" s="1" t="s">
        <v>35</v>
      </c>
      <c r="F11" s="6" t="n">
        <f aca="false">SUM(F12,F13,F14,F15,F16,F17,F18,F19)</f>
        <v>6400</v>
      </c>
      <c r="G11" s="7" t="n">
        <f aca="false">MAX(G12,G13,G14,G15,G16,G17,G18,G19)</f>
        <v>21</v>
      </c>
    </row>
    <row r="12" customFormat="false" ht="15" hidden="false" customHeight="false" outlineLevel="0" collapsed="false">
      <c r="A12" s="1" t="s">
        <v>8</v>
      </c>
      <c r="B12" s="1" t="s">
        <v>33</v>
      </c>
      <c r="C12" s="1" t="s">
        <v>36</v>
      </c>
      <c r="D12" s="0" t="s">
        <v>37</v>
      </c>
      <c r="E12" s="2" t="s">
        <v>38</v>
      </c>
      <c r="F12" s="8" t="n">
        <v>800</v>
      </c>
      <c r="G12" s="9" t="n">
        <v>14</v>
      </c>
    </row>
    <row r="13" customFormat="false" ht="15" hidden="false" customHeight="false" outlineLevel="0" collapsed="false">
      <c r="A13" s="1" t="s">
        <v>8</v>
      </c>
      <c r="B13" s="1" t="s">
        <v>33</v>
      </c>
      <c r="C13" s="1" t="s">
        <v>13</v>
      </c>
      <c r="D13" s="0" t="s">
        <v>39</v>
      </c>
      <c r="E13" s="2" t="s">
        <v>40</v>
      </c>
      <c r="F13" s="8" t="n">
        <v>600</v>
      </c>
      <c r="G13" s="9" t="n">
        <v>14</v>
      </c>
    </row>
    <row r="14" customFormat="false" ht="15" hidden="false" customHeight="false" outlineLevel="0" collapsed="false">
      <c r="A14" s="1" t="s">
        <v>8</v>
      </c>
      <c r="B14" s="1" t="s">
        <v>33</v>
      </c>
      <c r="C14" s="1" t="s">
        <v>41</v>
      </c>
      <c r="D14" s="0" t="s">
        <v>42</v>
      </c>
      <c r="E14" s="2" t="s">
        <v>43</v>
      </c>
      <c r="F14" s="8" t="n">
        <v>2200</v>
      </c>
      <c r="G14" s="9" t="n">
        <v>21</v>
      </c>
    </row>
    <row r="15" customFormat="false" ht="15" hidden="false" customHeight="false" outlineLevel="0" collapsed="false">
      <c r="A15" s="1" t="s">
        <v>8</v>
      </c>
      <c r="B15" s="1" t="s">
        <v>33</v>
      </c>
      <c r="C15" s="1" t="s">
        <v>16</v>
      </c>
      <c r="D15" s="0" t="s">
        <v>44</v>
      </c>
      <c r="E15" s="2" t="s">
        <v>45</v>
      </c>
      <c r="F15" s="8" t="n">
        <v>150</v>
      </c>
      <c r="G15" s="9" t="n">
        <v>7</v>
      </c>
    </row>
    <row r="16" customFormat="false" ht="15" hidden="false" customHeight="false" outlineLevel="0" collapsed="false">
      <c r="A16" s="1" t="s">
        <v>8</v>
      </c>
      <c r="B16" s="1" t="s">
        <v>33</v>
      </c>
      <c r="C16" s="1" t="s">
        <v>19</v>
      </c>
      <c r="D16" s="0" t="s">
        <v>46</v>
      </c>
      <c r="E16" s="2" t="s">
        <v>47</v>
      </c>
      <c r="F16" s="8" t="n">
        <v>100</v>
      </c>
      <c r="G16" s="9" t="n">
        <v>7</v>
      </c>
    </row>
    <row r="17" customFormat="false" ht="15" hidden="false" customHeight="false" outlineLevel="0" collapsed="false">
      <c r="A17" s="1" t="s">
        <v>8</v>
      </c>
      <c r="B17" s="1" t="s">
        <v>33</v>
      </c>
      <c r="C17" s="1" t="s">
        <v>48</v>
      </c>
      <c r="D17" s="0" t="s">
        <v>49</v>
      </c>
      <c r="E17" s="2" t="s">
        <v>50</v>
      </c>
      <c r="F17" s="8" t="n">
        <v>150</v>
      </c>
      <c r="G17" s="9" t="n">
        <v>10</v>
      </c>
    </row>
    <row r="18" customFormat="false" ht="15" hidden="false" customHeight="false" outlineLevel="0" collapsed="false">
      <c r="A18" s="1" t="s">
        <v>8</v>
      </c>
      <c r="B18" s="1" t="s">
        <v>33</v>
      </c>
      <c r="C18" s="1" t="s">
        <v>51</v>
      </c>
      <c r="D18" s="0" t="s">
        <v>52</v>
      </c>
      <c r="E18" s="2" t="s">
        <v>53</v>
      </c>
      <c r="F18" s="8" t="n">
        <v>200</v>
      </c>
      <c r="G18" s="9" t="n">
        <v>10</v>
      </c>
    </row>
    <row r="19" customFormat="false" ht="15" hidden="false" customHeight="false" outlineLevel="0" collapsed="false">
      <c r="A19" s="1" t="s">
        <v>8</v>
      </c>
      <c r="B19" s="1" t="s">
        <v>33</v>
      </c>
      <c r="C19" s="1" t="s">
        <v>54</v>
      </c>
      <c r="D19" s="0" t="s">
        <v>55</v>
      </c>
      <c r="E19" s="2" t="s">
        <v>56</v>
      </c>
      <c r="F19" s="8" t="n">
        <v>2200</v>
      </c>
      <c r="G19" s="9" t="n">
        <v>21</v>
      </c>
    </row>
    <row r="20" customFormat="false" ht="15" hidden="false" customHeight="false" outlineLevel="0" collapsed="false">
      <c r="A20" s="1" t="s">
        <v>8</v>
      </c>
      <c r="B20" s="1" t="s">
        <v>57</v>
      </c>
      <c r="D20" s="0" t="s">
        <v>58</v>
      </c>
      <c r="E20" s="1" t="s">
        <v>59</v>
      </c>
      <c r="F20" s="6" t="n">
        <f aca="false">SUM(F21,F22,F23)</f>
        <v>10800</v>
      </c>
      <c r="G20" s="7" t="n">
        <f aca="false">MAX(G21,G22,G23)</f>
        <v>30</v>
      </c>
    </row>
    <row r="21" customFormat="false" ht="15" hidden="false" customHeight="false" outlineLevel="0" collapsed="false">
      <c r="A21" s="1" t="s">
        <v>8</v>
      </c>
      <c r="B21" s="1" t="s">
        <v>57</v>
      </c>
      <c r="C21" s="1" t="s">
        <v>16</v>
      </c>
      <c r="D21" s="0" t="s">
        <v>60</v>
      </c>
      <c r="E21" s="2" t="s">
        <v>61</v>
      </c>
      <c r="F21" s="8" t="n">
        <v>300</v>
      </c>
      <c r="G21" s="9" t="n">
        <v>10</v>
      </c>
    </row>
    <row r="22" customFormat="false" ht="15" hidden="false" customHeight="false" outlineLevel="0" collapsed="false">
      <c r="A22" s="1" t="s">
        <v>8</v>
      </c>
      <c r="B22" s="1" t="s">
        <v>57</v>
      </c>
      <c r="C22" s="1" t="s">
        <v>62</v>
      </c>
      <c r="D22" s="0" t="s">
        <v>63</v>
      </c>
      <c r="E22" s="2" t="s">
        <v>64</v>
      </c>
      <c r="F22" s="8" t="n">
        <v>8000</v>
      </c>
      <c r="G22" s="9" t="n">
        <v>30</v>
      </c>
    </row>
    <row r="23" customFormat="false" ht="15" hidden="false" customHeight="false" outlineLevel="0" collapsed="false">
      <c r="A23" s="1" t="s">
        <v>8</v>
      </c>
      <c r="B23" s="1" t="s">
        <v>57</v>
      </c>
      <c r="C23" s="1" t="s">
        <v>65</v>
      </c>
      <c r="D23" s="0" t="s">
        <v>66</v>
      </c>
      <c r="E23" s="2" t="s">
        <v>67</v>
      </c>
      <c r="F23" s="8" t="n">
        <v>2500</v>
      </c>
      <c r="G23" s="9" t="n">
        <v>21</v>
      </c>
    </row>
    <row r="24" customFormat="false" ht="15" hidden="false" customHeight="false" outlineLevel="0" collapsed="false">
      <c r="A24" s="1" t="s">
        <v>8</v>
      </c>
      <c r="B24" s="1" t="s">
        <v>68</v>
      </c>
      <c r="D24" s="0" t="s">
        <v>69</v>
      </c>
      <c r="E24" s="1" t="s">
        <v>70</v>
      </c>
      <c r="F24" s="6" t="n">
        <f aca="false">SUM(F25,F26,F27,F28)</f>
        <v>223</v>
      </c>
      <c r="G24" s="7" t="n">
        <f aca="false">MAX(G25,G26,G27,G28)</f>
        <v>14</v>
      </c>
    </row>
    <row r="25" customFormat="false" ht="15" hidden="false" customHeight="false" outlineLevel="0" collapsed="false">
      <c r="A25" s="1" t="s">
        <v>8</v>
      </c>
      <c r="B25" s="1" t="s">
        <v>68</v>
      </c>
      <c r="C25" s="1" t="s">
        <v>13</v>
      </c>
      <c r="D25" s="0" t="s">
        <v>71</v>
      </c>
      <c r="E25" s="2" t="s">
        <v>72</v>
      </c>
      <c r="F25" s="8" t="n">
        <v>25</v>
      </c>
      <c r="G25" s="9" t="n">
        <v>14</v>
      </c>
    </row>
    <row r="26" customFormat="false" ht="15" hidden="false" customHeight="false" outlineLevel="0" collapsed="false">
      <c r="A26" s="1" t="s">
        <v>8</v>
      </c>
      <c r="B26" s="1" t="s">
        <v>68</v>
      </c>
      <c r="C26" s="1" t="s">
        <v>73</v>
      </c>
      <c r="D26" s="0" t="s">
        <v>74</v>
      </c>
      <c r="E26" s="2" t="s">
        <v>75</v>
      </c>
      <c r="F26" s="8" t="n">
        <v>15</v>
      </c>
      <c r="G26" s="9" t="n">
        <v>7</v>
      </c>
    </row>
    <row r="27" customFormat="false" ht="15" hidden="false" customHeight="false" outlineLevel="0" collapsed="false">
      <c r="A27" s="1" t="s">
        <v>8</v>
      </c>
      <c r="B27" s="1" t="s">
        <v>68</v>
      </c>
      <c r="C27" s="1" t="s">
        <v>16</v>
      </c>
      <c r="D27" s="0" t="s">
        <v>76</v>
      </c>
      <c r="E27" s="2" t="s">
        <v>77</v>
      </c>
      <c r="F27" s="8" t="n">
        <v>8</v>
      </c>
      <c r="G27" s="9" t="n">
        <v>7</v>
      </c>
    </row>
    <row r="28" customFormat="false" ht="15" hidden="false" customHeight="false" outlineLevel="0" collapsed="false">
      <c r="A28" s="1" t="s">
        <v>8</v>
      </c>
      <c r="B28" s="1" t="s">
        <v>68</v>
      </c>
      <c r="C28" s="1" t="s">
        <v>78</v>
      </c>
      <c r="D28" s="0" t="s">
        <v>79</v>
      </c>
      <c r="E28" s="2" t="s">
        <v>80</v>
      </c>
      <c r="F28" s="8" t="n">
        <v>175</v>
      </c>
      <c r="G28" s="9" t="n">
        <v>14</v>
      </c>
    </row>
    <row r="29" customFormat="false" ht="15" hidden="false" customHeight="false" outlineLevel="0" collapsed="false">
      <c r="A29" s="1" t="s">
        <v>8</v>
      </c>
      <c r="B29" s="1" t="s">
        <v>81</v>
      </c>
      <c r="D29" s="0" t="s">
        <v>82</v>
      </c>
      <c r="E29" s="1" t="s">
        <v>83</v>
      </c>
      <c r="F29" s="6" t="n">
        <f aca="false">SUM(F30,F31)</f>
        <v>5500</v>
      </c>
      <c r="G29" s="7" t="n">
        <f aca="false">MAX(G30,G31)</f>
        <v>21</v>
      </c>
    </row>
    <row r="30" customFormat="false" ht="15" hidden="false" customHeight="false" outlineLevel="0" collapsed="false">
      <c r="A30" s="1" t="s">
        <v>8</v>
      </c>
      <c r="B30" s="1" t="s">
        <v>81</v>
      </c>
      <c r="C30" s="1" t="s">
        <v>27</v>
      </c>
      <c r="D30" s="0" t="s">
        <v>84</v>
      </c>
      <c r="E30" s="2" t="s">
        <v>85</v>
      </c>
      <c r="F30" s="8" t="n">
        <v>4000</v>
      </c>
      <c r="G30" s="9" t="n">
        <v>21</v>
      </c>
    </row>
    <row r="31" customFormat="false" ht="15" hidden="false" customHeight="false" outlineLevel="0" collapsed="false">
      <c r="A31" s="1" t="s">
        <v>8</v>
      </c>
      <c r="B31" s="1" t="s">
        <v>81</v>
      </c>
      <c r="C31" s="1" t="s">
        <v>30</v>
      </c>
      <c r="D31" s="0" t="s">
        <v>86</v>
      </c>
      <c r="E31" s="2" t="s">
        <v>87</v>
      </c>
      <c r="F31" s="8" t="n">
        <v>1500</v>
      </c>
      <c r="G31" s="9" t="n">
        <v>14</v>
      </c>
    </row>
    <row r="32" customFormat="false" ht="15" hidden="false" customHeight="false" outlineLevel="0" collapsed="false">
      <c r="A32" s="1" t="s">
        <v>8</v>
      </c>
      <c r="B32" s="1" t="s">
        <v>88</v>
      </c>
      <c r="D32" s="0" t="s">
        <v>89</v>
      </c>
      <c r="E32" s="1" t="s">
        <v>90</v>
      </c>
      <c r="F32" s="6" t="n">
        <f aca="false">SUM(F33,F34,F35,F36,F37)</f>
        <v>14700</v>
      </c>
      <c r="G32" s="7" t="n">
        <f aca="false">MAX(G33,G34,G35,G36,G37)</f>
        <v>30</v>
      </c>
    </row>
    <row r="33" customFormat="false" ht="15" hidden="false" customHeight="false" outlineLevel="0" collapsed="false">
      <c r="A33" s="1" t="s">
        <v>8</v>
      </c>
      <c r="B33" s="1" t="s">
        <v>88</v>
      </c>
      <c r="C33" s="1" t="s">
        <v>91</v>
      </c>
      <c r="D33" s="0" t="s">
        <v>92</v>
      </c>
      <c r="E33" s="2" t="s">
        <v>93</v>
      </c>
      <c r="F33" s="8" t="n">
        <v>6000</v>
      </c>
      <c r="G33" s="9" t="n">
        <v>30</v>
      </c>
    </row>
    <row r="34" customFormat="false" ht="15" hidden="false" customHeight="false" outlineLevel="0" collapsed="false">
      <c r="A34" s="1" t="s">
        <v>8</v>
      </c>
      <c r="B34" s="1" t="s">
        <v>88</v>
      </c>
      <c r="C34" s="1" t="s">
        <v>94</v>
      </c>
      <c r="D34" s="0" t="s">
        <v>95</v>
      </c>
      <c r="E34" s="2" t="s">
        <v>96</v>
      </c>
      <c r="F34" s="8" t="n">
        <v>4000</v>
      </c>
      <c r="G34" s="9" t="n">
        <v>30</v>
      </c>
    </row>
    <row r="35" customFormat="false" ht="15" hidden="false" customHeight="false" outlineLevel="0" collapsed="false">
      <c r="A35" s="1" t="s">
        <v>8</v>
      </c>
      <c r="B35" s="1" t="s">
        <v>88</v>
      </c>
      <c r="C35" s="1" t="s">
        <v>73</v>
      </c>
      <c r="D35" s="0" t="s">
        <v>97</v>
      </c>
      <c r="E35" s="2" t="s">
        <v>98</v>
      </c>
      <c r="F35" s="8" t="n">
        <v>200</v>
      </c>
      <c r="G35" s="9" t="n">
        <v>10</v>
      </c>
    </row>
    <row r="36" customFormat="false" ht="15" hidden="false" customHeight="false" outlineLevel="0" collapsed="false">
      <c r="A36" s="1" t="s">
        <v>8</v>
      </c>
      <c r="B36" s="1" t="s">
        <v>88</v>
      </c>
      <c r="C36" s="1" t="s">
        <v>99</v>
      </c>
      <c r="D36" s="0" t="s">
        <v>100</v>
      </c>
      <c r="E36" s="2" t="s">
        <v>101</v>
      </c>
      <c r="F36" s="8" t="n">
        <v>3000</v>
      </c>
      <c r="G36" s="9" t="n">
        <v>21</v>
      </c>
    </row>
    <row r="37" customFormat="false" ht="15" hidden="false" customHeight="false" outlineLevel="0" collapsed="false">
      <c r="A37" s="1" t="s">
        <v>8</v>
      </c>
      <c r="B37" s="1" t="s">
        <v>88</v>
      </c>
      <c r="C37" s="1" t="s">
        <v>102</v>
      </c>
      <c r="D37" s="0" t="s">
        <v>103</v>
      </c>
      <c r="E37" s="2" t="s">
        <v>104</v>
      </c>
      <c r="F37" s="8" t="n">
        <v>1500</v>
      </c>
      <c r="G37" s="9" t="n">
        <v>14</v>
      </c>
    </row>
    <row r="38" customFormat="false" ht="15" hidden="false" customHeight="false" outlineLevel="0" collapsed="false">
      <c r="A38" s="1" t="s">
        <v>8</v>
      </c>
      <c r="B38" s="1" t="s">
        <v>105</v>
      </c>
      <c r="D38" s="0" t="s">
        <v>106</v>
      </c>
      <c r="E38" s="1" t="s">
        <v>107</v>
      </c>
      <c r="F38" s="6" t="n">
        <f aca="false">SUM(F39,F40,F41,F42,F43,F44,F45)</f>
        <v>12850</v>
      </c>
      <c r="G38" s="7" t="n">
        <f aca="false">MAX(G39,G40,G41,G42,G43,G44,G45)</f>
        <v>21</v>
      </c>
    </row>
    <row r="39" customFormat="false" ht="15" hidden="false" customHeight="false" outlineLevel="0" collapsed="false">
      <c r="A39" s="1" t="s">
        <v>8</v>
      </c>
      <c r="B39" s="1" t="s">
        <v>105</v>
      </c>
      <c r="C39" s="1" t="s">
        <v>16</v>
      </c>
      <c r="D39" s="0" t="s">
        <v>108</v>
      </c>
      <c r="E39" s="2" t="s">
        <v>109</v>
      </c>
      <c r="F39" s="8" t="n">
        <v>200</v>
      </c>
      <c r="G39" s="9" t="n">
        <v>10</v>
      </c>
    </row>
    <row r="40" customFormat="false" ht="15" hidden="false" customHeight="false" outlineLevel="0" collapsed="false">
      <c r="A40" s="1" t="s">
        <v>8</v>
      </c>
      <c r="B40" s="1" t="s">
        <v>105</v>
      </c>
      <c r="C40" s="1" t="s">
        <v>27</v>
      </c>
      <c r="D40" s="0" t="s">
        <v>110</v>
      </c>
      <c r="E40" s="2" t="s">
        <v>111</v>
      </c>
      <c r="F40" s="8" t="n">
        <v>2500</v>
      </c>
      <c r="G40" s="9" t="n">
        <v>21</v>
      </c>
    </row>
    <row r="41" customFormat="false" ht="15" hidden="false" customHeight="false" outlineLevel="0" collapsed="false">
      <c r="A41" s="1" t="s">
        <v>8</v>
      </c>
      <c r="B41" s="1" t="s">
        <v>105</v>
      </c>
      <c r="C41" s="1" t="s">
        <v>30</v>
      </c>
      <c r="D41" s="0" t="s">
        <v>112</v>
      </c>
      <c r="E41" s="2" t="s">
        <v>113</v>
      </c>
      <c r="F41" s="8" t="n">
        <v>3000</v>
      </c>
      <c r="G41" s="9" t="n">
        <v>14</v>
      </c>
    </row>
    <row r="42" customFormat="false" ht="15" hidden="false" customHeight="false" outlineLevel="0" collapsed="false">
      <c r="A42" s="1" t="s">
        <v>8</v>
      </c>
      <c r="B42" s="1" t="s">
        <v>105</v>
      </c>
      <c r="C42" s="1" t="s">
        <v>114</v>
      </c>
      <c r="D42" s="0" t="s">
        <v>115</v>
      </c>
      <c r="E42" s="2" t="s">
        <v>116</v>
      </c>
      <c r="F42" s="8" t="n">
        <v>5000</v>
      </c>
      <c r="G42" s="9" t="n">
        <v>21</v>
      </c>
    </row>
    <row r="43" customFormat="false" ht="15" hidden="false" customHeight="false" outlineLevel="0" collapsed="false">
      <c r="A43" s="1" t="s">
        <v>8</v>
      </c>
      <c r="B43" s="1" t="s">
        <v>105</v>
      </c>
      <c r="C43" s="1" t="s">
        <v>65</v>
      </c>
      <c r="D43" s="0" t="s">
        <v>117</v>
      </c>
      <c r="E43" s="2" t="s">
        <v>118</v>
      </c>
      <c r="F43" s="8" t="n">
        <v>1200</v>
      </c>
      <c r="G43" s="9" t="n">
        <v>14</v>
      </c>
    </row>
    <row r="44" customFormat="false" ht="15" hidden="false" customHeight="false" outlineLevel="0" collapsed="false">
      <c r="A44" s="1" t="s">
        <v>8</v>
      </c>
      <c r="B44" s="1" t="s">
        <v>105</v>
      </c>
      <c r="C44" s="1" t="s">
        <v>119</v>
      </c>
      <c r="D44" s="0" t="s">
        <v>120</v>
      </c>
      <c r="E44" s="2" t="s">
        <v>121</v>
      </c>
      <c r="F44" s="8" t="n">
        <v>800</v>
      </c>
      <c r="G44" s="9" t="n">
        <v>7</v>
      </c>
    </row>
    <row r="45" customFormat="false" ht="15" hidden="false" customHeight="false" outlineLevel="0" collapsed="false">
      <c r="A45" s="1" t="s">
        <v>8</v>
      </c>
      <c r="B45" s="1" t="s">
        <v>105</v>
      </c>
      <c r="C45" s="1" t="s">
        <v>122</v>
      </c>
      <c r="D45" s="0" t="s">
        <v>123</v>
      </c>
      <c r="E45" s="2" t="s">
        <v>124</v>
      </c>
      <c r="F45" s="8" t="n">
        <v>150</v>
      </c>
      <c r="G45" s="9" t="n">
        <v>7</v>
      </c>
    </row>
    <row r="46" customFormat="false" ht="15" hidden="false" customHeight="false" outlineLevel="0" collapsed="false">
      <c r="A46" s="1" t="s">
        <v>8</v>
      </c>
      <c r="B46" s="1" t="s">
        <v>73</v>
      </c>
      <c r="C46" s="1" t="s">
        <v>125</v>
      </c>
      <c r="D46" s="0" t="s">
        <v>126</v>
      </c>
      <c r="E46" s="2" t="s">
        <v>127</v>
      </c>
      <c r="F46" s="8" t="n">
        <v>180</v>
      </c>
      <c r="G46" s="9" t="n">
        <v>3</v>
      </c>
      <c r="H46" s="9" t="n">
        <v>4</v>
      </c>
    </row>
    <row r="47" customFormat="false" ht="15" hidden="false" customHeight="false" outlineLevel="0" collapsed="false">
      <c r="A47" s="1" t="s">
        <v>8</v>
      </c>
      <c r="B47" s="1" t="s">
        <v>128</v>
      </c>
      <c r="C47" s="1" t="s">
        <v>125</v>
      </c>
      <c r="D47" s="0" t="s">
        <v>129</v>
      </c>
      <c r="E47" s="2" t="s">
        <v>130</v>
      </c>
      <c r="F47" s="8" t="n">
        <v>420</v>
      </c>
      <c r="G47" s="9" t="n">
        <v>3</v>
      </c>
      <c r="H47" s="9" t="n">
        <v>8</v>
      </c>
    </row>
    <row r="48" customFormat="false" ht="15" hidden="false" customHeight="false" outlineLevel="0" collapsed="false">
      <c r="A48" s="1" t="s">
        <v>8</v>
      </c>
      <c r="B48" s="1" t="s">
        <v>16</v>
      </c>
      <c r="C48" s="1" t="s">
        <v>125</v>
      </c>
      <c r="D48" s="0" t="s">
        <v>131</v>
      </c>
      <c r="E48" s="2" t="s">
        <v>132</v>
      </c>
      <c r="F48" s="8" t="n">
        <v>240</v>
      </c>
      <c r="G48" s="9" t="n">
        <v>2</v>
      </c>
      <c r="H48" s="9" t="n">
        <v>5</v>
      </c>
    </row>
    <row r="49" s="5" customFormat="true" ht="15" hidden="false" customHeight="false" outlineLevel="0" collapsed="false">
      <c r="A49" s="4" t="s">
        <v>133</v>
      </c>
      <c r="B49" s="4"/>
      <c r="C49" s="4"/>
      <c r="D49" s="0" t="s">
        <v>133</v>
      </c>
      <c r="E49" s="4" t="s">
        <v>134</v>
      </c>
      <c r="F49" s="4"/>
      <c r="G49" s="4"/>
      <c r="H49" s="4"/>
    </row>
    <row r="50" customFormat="false" ht="15" hidden="false" customHeight="false" outlineLevel="0" collapsed="false">
      <c r="A50" s="1" t="s">
        <v>133</v>
      </c>
      <c r="B50" s="1" t="s">
        <v>135</v>
      </c>
      <c r="D50" s="0" t="s">
        <v>136</v>
      </c>
      <c r="E50" s="1" t="s">
        <v>137</v>
      </c>
      <c r="F50" s="8" t="n">
        <v>1200</v>
      </c>
      <c r="G50" s="9" t="n">
        <v>3</v>
      </c>
      <c r="H50" s="9" t="n">
        <v>24</v>
      </c>
    </row>
    <row r="51" customFormat="false" ht="15" hidden="false" customHeight="false" outlineLevel="0" collapsed="false">
      <c r="A51" s="1" t="s">
        <v>133</v>
      </c>
      <c r="B51" s="1" t="s">
        <v>135</v>
      </c>
      <c r="D51" s="0" t="s">
        <v>138</v>
      </c>
      <c r="E51" s="1" t="s">
        <v>139</v>
      </c>
      <c r="F51" s="8" t="n">
        <v>1600</v>
      </c>
      <c r="G51" s="9" t="n">
        <v>4</v>
      </c>
      <c r="H51" s="9" t="n">
        <v>32</v>
      </c>
    </row>
    <row r="52" customFormat="false" ht="15" hidden="false" customHeight="false" outlineLevel="0" collapsed="false">
      <c r="A52" s="1" t="s">
        <v>133</v>
      </c>
      <c r="B52" s="1" t="s">
        <v>135</v>
      </c>
      <c r="D52" s="0" t="s">
        <v>140</v>
      </c>
      <c r="E52" s="1" t="s">
        <v>141</v>
      </c>
      <c r="F52" s="8" t="n">
        <v>1200</v>
      </c>
      <c r="G52" s="9" t="n">
        <v>3</v>
      </c>
      <c r="H52" s="9" t="n">
        <v>24</v>
      </c>
    </row>
    <row r="53" customFormat="false" ht="15" hidden="false" customHeight="false" outlineLevel="0" collapsed="false">
      <c r="A53" s="1" t="s">
        <v>133</v>
      </c>
      <c r="B53" s="1" t="s">
        <v>135</v>
      </c>
      <c r="D53" s="0" t="s">
        <v>142</v>
      </c>
      <c r="E53" s="1" t="s">
        <v>143</v>
      </c>
      <c r="F53" s="8" t="n">
        <v>800</v>
      </c>
      <c r="G53" s="9" t="n">
        <v>2</v>
      </c>
      <c r="H53" s="9" t="n">
        <v>16</v>
      </c>
    </row>
    <row r="54" customFormat="false" ht="15" hidden="false" customHeight="false" outlineLevel="0" collapsed="false">
      <c r="A54" s="1" t="s">
        <v>133</v>
      </c>
      <c r="B54" s="1" t="s">
        <v>135</v>
      </c>
      <c r="D54" s="0" t="s">
        <v>144</v>
      </c>
      <c r="E54" s="1" t="s">
        <v>145</v>
      </c>
      <c r="F54" s="8" t="n">
        <v>400</v>
      </c>
      <c r="G54" s="9" t="n">
        <v>1</v>
      </c>
      <c r="H54" s="9" t="n">
        <v>8</v>
      </c>
    </row>
    <row r="55" customFormat="false" ht="15" hidden="false" customHeight="false" outlineLevel="0" collapsed="false">
      <c r="A55" s="1" t="s">
        <v>133</v>
      </c>
      <c r="B55" s="1" t="s">
        <v>135</v>
      </c>
      <c r="D55" s="0" t="s">
        <v>146</v>
      </c>
      <c r="E55" s="1" t="s">
        <v>147</v>
      </c>
      <c r="F55" s="8" t="n">
        <v>1200</v>
      </c>
      <c r="G55" s="9" t="n">
        <v>3</v>
      </c>
      <c r="H55" s="9" t="n">
        <v>24</v>
      </c>
    </row>
    <row r="56" customFormat="false" ht="15" hidden="false" customHeight="false" outlineLevel="0" collapsed="false">
      <c r="A56" s="1" t="s">
        <v>133</v>
      </c>
      <c r="B56" s="1" t="s">
        <v>135</v>
      </c>
      <c r="D56" s="0" t="s">
        <v>148</v>
      </c>
      <c r="E56" s="1" t="s">
        <v>149</v>
      </c>
      <c r="F56" s="8" t="n">
        <v>800</v>
      </c>
      <c r="G56" s="9" t="n">
        <v>2</v>
      </c>
      <c r="H56" s="9" t="n">
        <v>16</v>
      </c>
    </row>
    <row r="57" customFormat="false" ht="15" hidden="false" customHeight="false" outlineLevel="0" collapsed="false">
      <c r="A57" s="1" t="s">
        <v>133</v>
      </c>
      <c r="B57" s="1" t="s">
        <v>135</v>
      </c>
      <c r="D57" s="0" t="s">
        <v>150</v>
      </c>
      <c r="E57" s="1" t="s">
        <v>151</v>
      </c>
      <c r="F57" s="8" t="n">
        <v>1200</v>
      </c>
      <c r="G57" s="9" t="n">
        <v>3</v>
      </c>
      <c r="H57" s="9" t="n">
        <v>24</v>
      </c>
    </row>
    <row r="58" customFormat="false" ht="15" hidden="false" customHeight="false" outlineLevel="0" collapsed="false">
      <c r="A58" s="1" t="s">
        <v>133</v>
      </c>
      <c r="B58" s="1" t="s">
        <v>135</v>
      </c>
      <c r="D58" s="0" t="s">
        <v>152</v>
      </c>
      <c r="E58" s="1" t="s">
        <v>153</v>
      </c>
      <c r="F58" s="8" t="n">
        <v>1400</v>
      </c>
      <c r="G58" s="9" t="n">
        <v>2</v>
      </c>
      <c r="H58" s="9" t="n">
        <v>16</v>
      </c>
    </row>
    <row r="59" customFormat="false" ht="15" hidden="false" customHeight="false" outlineLevel="0" collapsed="false">
      <c r="A59" s="1" t="s">
        <v>133</v>
      </c>
      <c r="B59" s="1" t="s">
        <v>135</v>
      </c>
      <c r="D59" s="0" t="s">
        <v>154</v>
      </c>
      <c r="E59" s="1" t="s">
        <v>155</v>
      </c>
      <c r="F59" s="8" t="n">
        <v>2000</v>
      </c>
      <c r="G59" s="9" t="n">
        <v>5</v>
      </c>
      <c r="H59" s="9" t="n">
        <v>40</v>
      </c>
    </row>
    <row r="60" customFormat="false" ht="15" hidden="false" customHeight="false" outlineLevel="0" collapsed="false">
      <c r="A60" s="1" t="s">
        <v>133</v>
      </c>
      <c r="B60" s="1" t="s">
        <v>135</v>
      </c>
      <c r="D60" s="0" t="s">
        <v>156</v>
      </c>
      <c r="E60" s="1" t="s">
        <v>157</v>
      </c>
      <c r="F60" s="8" t="n">
        <v>800</v>
      </c>
      <c r="G60" s="9" t="n">
        <v>2</v>
      </c>
      <c r="H60" s="9" t="n">
        <v>16</v>
      </c>
    </row>
    <row r="61" customFormat="false" ht="15" hidden="false" customHeight="false" outlineLevel="0" collapsed="false">
      <c r="A61" s="1" t="s">
        <v>133</v>
      </c>
      <c r="B61" s="1" t="s">
        <v>135</v>
      </c>
      <c r="D61" s="0" t="s">
        <v>158</v>
      </c>
      <c r="E61" s="1" t="s">
        <v>159</v>
      </c>
      <c r="F61" s="8" t="n">
        <v>1200</v>
      </c>
      <c r="G61" s="9" t="n">
        <v>3</v>
      </c>
      <c r="H61" s="9" t="n">
        <v>24</v>
      </c>
    </row>
    <row r="62" customFormat="false" ht="15" hidden="false" customHeight="false" outlineLevel="0" collapsed="false">
      <c r="A62" s="1" t="s">
        <v>133</v>
      </c>
      <c r="B62" s="1" t="s">
        <v>135</v>
      </c>
      <c r="D62" s="0" t="s">
        <v>160</v>
      </c>
      <c r="E62" s="1" t="s">
        <v>161</v>
      </c>
      <c r="F62" s="8" t="n">
        <v>2000</v>
      </c>
      <c r="G62" s="9" t="n">
        <v>5</v>
      </c>
      <c r="H62" s="9" t="n">
        <v>40</v>
      </c>
    </row>
    <row r="63" s="5" customFormat="true" ht="15" hidden="false" customHeight="false" outlineLevel="0" collapsed="false">
      <c r="A63" s="4" t="s">
        <v>162</v>
      </c>
      <c r="B63" s="4"/>
      <c r="C63" s="4"/>
      <c r="D63" s="0"/>
      <c r="E63" s="4" t="s">
        <v>163</v>
      </c>
      <c r="F63" s="4"/>
      <c r="G63" s="4"/>
      <c r="H63" s="4"/>
    </row>
    <row r="64" customFormat="false" ht="15" hidden="false" customHeight="false" outlineLevel="0" collapsed="false">
      <c r="A64" s="1" t="s">
        <v>162</v>
      </c>
      <c r="B64" s="1" t="s">
        <v>164</v>
      </c>
      <c r="D64" s="0" t="s">
        <v>165</v>
      </c>
      <c r="E64" s="1" t="s">
        <v>166</v>
      </c>
      <c r="F64" s="8" t="n">
        <v>400</v>
      </c>
      <c r="G64" s="9" t="n">
        <v>1</v>
      </c>
      <c r="H64" s="9" t="n">
        <v>8</v>
      </c>
    </row>
    <row r="65" customFormat="false" ht="15" hidden="false" customHeight="false" outlineLevel="0" collapsed="false">
      <c r="A65" s="1" t="s">
        <v>162</v>
      </c>
      <c r="B65" s="1" t="s">
        <v>164</v>
      </c>
      <c r="D65" s="0" t="s">
        <v>167</v>
      </c>
      <c r="E65" s="1" t="s">
        <v>168</v>
      </c>
      <c r="F65" s="8" t="n">
        <v>2000</v>
      </c>
      <c r="G65" s="9" t="n">
        <v>3</v>
      </c>
      <c r="H65" s="9" t="n">
        <v>24</v>
      </c>
    </row>
    <row r="66" customFormat="false" ht="15" hidden="false" customHeight="false" outlineLevel="0" collapsed="false">
      <c r="A66" s="1" t="s">
        <v>162</v>
      </c>
      <c r="B66" s="1" t="s">
        <v>164</v>
      </c>
      <c r="D66" s="0" t="s">
        <v>169</v>
      </c>
      <c r="E66" s="1" t="s">
        <v>170</v>
      </c>
      <c r="F66" s="8" t="n">
        <v>800</v>
      </c>
      <c r="G66" s="9" t="n">
        <v>2</v>
      </c>
      <c r="H66" s="9" t="n">
        <v>16</v>
      </c>
    </row>
    <row r="67" customFormat="false" ht="15" hidden="false" customHeight="false" outlineLevel="0" collapsed="false">
      <c r="A67" s="1" t="s">
        <v>162</v>
      </c>
      <c r="B67" s="1" t="s">
        <v>164</v>
      </c>
      <c r="D67" s="0" t="s">
        <v>171</v>
      </c>
      <c r="E67" s="1" t="s">
        <v>172</v>
      </c>
      <c r="F67" s="8" t="n">
        <v>2000</v>
      </c>
      <c r="G67" s="9" t="n">
        <v>3</v>
      </c>
      <c r="H67" s="9" t="n">
        <v>24</v>
      </c>
    </row>
    <row r="68" customFormat="false" ht="15" hidden="false" customHeight="false" outlineLevel="0" collapsed="false">
      <c r="A68" s="1" t="s">
        <v>162</v>
      </c>
      <c r="B68" s="1" t="s">
        <v>164</v>
      </c>
      <c r="D68" s="0" t="s">
        <v>173</v>
      </c>
      <c r="E68" s="1" t="s">
        <v>174</v>
      </c>
      <c r="F68" s="8" t="n">
        <v>300</v>
      </c>
      <c r="G68" s="9" t="n">
        <v>1</v>
      </c>
      <c r="H68" s="9" t="n">
        <v>6</v>
      </c>
    </row>
    <row r="69" customFormat="false" ht="15" hidden="false" customHeight="false" outlineLevel="0" collapsed="false">
      <c r="A69" s="1" t="s">
        <v>162</v>
      </c>
      <c r="B69" s="1" t="s">
        <v>164</v>
      </c>
      <c r="D69" s="0" t="s">
        <v>175</v>
      </c>
      <c r="E69" s="1" t="s">
        <v>176</v>
      </c>
      <c r="F69" s="8" t="n">
        <v>2000</v>
      </c>
      <c r="G69" s="9" t="n">
        <v>2</v>
      </c>
      <c r="H69" s="9" t="n">
        <v>16</v>
      </c>
    </row>
    <row r="70" customFormat="false" ht="15" hidden="false" customHeight="false" outlineLevel="0" collapsed="false">
      <c r="A70" s="1" t="s">
        <v>162</v>
      </c>
      <c r="B70" s="1" t="s">
        <v>164</v>
      </c>
      <c r="D70" s="0" t="s">
        <v>177</v>
      </c>
      <c r="E70" s="1" t="s">
        <v>178</v>
      </c>
      <c r="F70" s="8" t="n">
        <v>2000</v>
      </c>
      <c r="G70" s="9" t="n">
        <v>1</v>
      </c>
      <c r="H70" s="9" t="n">
        <v>8</v>
      </c>
    </row>
    <row r="71" customFormat="false" ht="15" hidden="false" customHeight="false" outlineLevel="0" collapsed="false">
      <c r="A71" s="1" t="s">
        <v>162</v>
      </c>
      <c r="B71" s="1" t="s">
        <v>164</v>
      </c>
      <c r="D71" s="0" t="s">
        <v>179</v>
      </c>
      <c r="E71" s="1" t="s">
        <v>180</v>
      </c>
      <c r="F71" s="8" t="n">
        <v>1000</v>
      </c>
      <c r="G71" s="9" t="n">
        <v>2</v>
      </c>
      <c r="H71" s="9" t="n">
        <v>16</v>
      </c>
    </row>
    <row r="72" s="5" customFormat="true" ht="15" hidden="false" customHeight="false" outlineLevel="0" collapsed="false">
      <c r="A72" s="4" t="s">
        <v>181</v>
      </c>
      <c r="B72" s="4"/>
      <c r="C72" s="4"/>
      <c r="D72" s="0"/>
      <c r="E72" s="4" t="s">
        <v>182</v>
      </c>
      <c r="F72" s="4"/>
      <c r="G72" s="4"/>
      <c r="H72" s="4"/>
    </row>
    <row r="73" customFormat="false" ht="15" hidden="false" customHeight="false" outlineLevel="0" collapsed="false">
      <c r="A73" s="1" t="s">
        <v>181</v>
      </c>
      <c r="B73" s="1" t="s">
        <v>183</v>
      </c>
      <c r="D73" s="0" t="s">
        <v>184</v>
      </c>
      <c r="E73" s="1" t="s">
        <v>185</v>
      </c>
      <c r="F73" s="8" t="n">
        <v>400</v>
      </c>
      <c r="G73" s="9" t="n">
        <v>1</v>
      </c>
      <c r="H73" s="9" t="n">
        <v>8</v>
      </c>
    </row>
    <row r="74" customFormat="false" ht="15" hidden="false" customHeight="false" outlineLevel="0" collapsed="false">
      <c r="A74" s="1" t="s">
        <v>181</v>
      </c>
      <c r="B74" s="1" t="s">
        <v>183</v>
      </c>
      <c r="D74" s="0" t="s">
        <v>186</v>
      </c>
      <c r="E74" s="1" t="s">
        <v>187</v>
      </c>
      <c r="F74" s="8" t="n">
        <v>800</v>
      </c>
      <c r="G74" s="9" t="n">
        <v>2</v>
      </c>
      <c r="H74" s="9" t="n">
        <v>16</v>
      </c>
    </row>
    <row r="75" customFormat="false" ht="15" hidden="false" customHeight="false" outlineLevel="0" collapsed="false">
      <c r="A75" s="1" t="s">
        <v>181</v>
      </c>
      <c r="B75" s="1" t="s">
        <v>183</v>
      </c>
      <c r="D75" s="0" t="s">
        <v>188</v>
      </c>
      <c r="E75" s="1" t="s">
        <v>189</v>
      </c>
      <c r="F75" s="8" t="n">
        <v>400</v>
      </c>
      <c r="G75" s="9" t="n">
        <v>1</v>
      </c>
      <c r="H75" s="9" t="n">
        <v>8</v>
      </c>
    </row>
    <row r="76" customFormat="false" ht="15" hidden="false" customHeight="false" outlineLevel="0" collapsed="false">
      <c r="A76" s="1" t="s">
        <v>181</v>
      </c>
      <c r="B76" s="1" t="s">
        <v>183</v>
      </c>
      <c r="D76" s="0" t="s">
        <v>190</v>
      </c>
      <c r="E76" s="1" t="s">
        <v>191</v>
      </c>
      <c r="F76" s="8" t="n">
        <v>400</v>
      </c>
      <c r="G76" s="9" t="n">
        <v>1</v>
      </c>
      <c r="H76" s="9" t="n">
        <v>8</v>
      </c>
    </row>
    <row r="77" customFormat="false" ht="15" hidden="false" customHeight="false" outlineLevel="0" collapsed="false">
      <c r="A77" s="1" t="s">
        <v>181</v>
      </c>
      <c r="B77" s="1" t="s">
        <v>183</v>
      </c>
      <c r="D77" s="0" t="s">
        <v>192</v>
      </c>
      <c r="E77" s="1" t="s">
        <v>193</v>
      </c>
      <c r="F77" s="8" t="n">
        <v>1200</v>
      </c>
      <c r="G77" s="9" t="n">
        <v>3</v>
      </c>
      <c r="H77" s="9" t="n">
        <v>24</v>
      </c>
    </row>
    <row r="78" customFormat="false" ht="15" hidden="false" customHeight="false" outlineLevel="0" collapsed="false">
      <c r="A78" s="1" t="s">
        <v>181</v>
      </c>
      <c r="B78" s="1" t="s">
        <v>183</v>
      </c>
      <c r="D78" s="0" t="s">
        <v>194</v>
      </c>
      <c r="E78" s="1" t="s">
        <v>195</v>
      </c>
      <c r="F78" s="8" t="n">
        <v>800</v>
      </c>
      <c r="G78" s="9" t="n">
        <v>2</v>
      </c>
      <c r="H78" s="9" t="n">
        <v>16</v>
      </c>
    </row>
    <row r="79" customFormat="false" ht="15" hidden="false" customHeight="false" outlineLevel="0" collapsed="false">
      <c r="A79" s="1" t="s">
        <v>181</v>
      </c>
      <c r="B79" s="1" t="s">
        <v>183</v>
      </c>
      <c r="D79" s="0" t="s">
        <v>196</v>
      </c>
      <c r="E79" s="1" t="s">
        <v>197</v>
      </c>
      <c r="F79" s="8" t="n">
        <v>400</v>
      </c>
      <c r="G79" s="9" t="n">
        <v>1</v>
      </c>
      <c r="H79" s="9" t="n">
        <v>8</v>
      </c>
    </row>
    <row r="80" customFormat="false" ht="15" hidden="false" customHeight="false" outlineLevel="0" collapsed="false">
      <c r="A80" s="1" t="s">
        <v>181</v>
      </c>
      <c r="B80" s="1" t="s">
        <v>183</v>
      </c>
      <c r="D80" s="0" t="s">
        <v>198</v>
      </c>
      <c r="E80" s="1" t="s">
        <v>199</v>
      </c>
      <c r="F80" s="8" t="n">
        <v>800</v>
      </c>
      <c r="G80" s="9" t="n">
        <v>2</v>
      </c>
      <c r="H80" s="9" t="n">
        <v>16</v>
      </c>
    </row>
    <row r="81" s="5" customFormat="true" ht="15" hidden="false" customHeight="false" outlineLevel="0" collapsed="false">
      <c r="A81" s="4" t="s">
        <v>200</v>
      </c>
      <c r="B81" s="4"/>
      <c r="C81" s="4"/>
      <c r="D81" s="0"/>
      <c r="E81" s="4" t="s">
        <v>201</v>
      </c>
      <c r="F81" s="4"/>
      <c r="G81" s="4"/>
      <c r="H81" s="4"/>
    </row>
    <row r="82" customFormat="false" ht="15" hidden="false" customHeight="false" outlineLevel="0" collapsed="false">
      <c r="A82" s="1" t="s">
        <v>200</v>
      </c>
      <c r="B82" s="1" t="s">
        <v>202</v>
      </c>
      <c r="E82" s="1" t="s">
        <v>203</v>
      </c>
    </row>
    <row r="83" customFormat="false" ht="15" hidden="false" customHeight="false" outlineLevel="0" collapsed="false">
      <c r="A83" s="1" t="s">
        <v>200</v>
      </c>
      <c r="B83" s="1" t="s">
        <v>204</v>
      </c>
      <c r="D83" s="0" t="s">
        <v>205</v>
      </c>
      <c r="E83" s="1" t="s">
        <v>206</v>
      </c>
      <c r="F83" s="8" t="n">
        <v>200</v>
      </c>
      <c r="G83" s="9" t="n">
        <v>1</v>
      </c>
      <c r="H83" s="9" t="n">
        <v>4</v>
      </c>
    </row>
    <row r="84" customFormat="false" ht="15" hidden="false" customHeight="false" outlineLevel="0" collapsed="false">
      <c r="A84" s="1" t="s">
        <v>200</v>
      </c>
      <c r="B84" s="1" t="s">
        <v>30</v>
      </c>
      <c r="E84" s="1" t="s">
        <v>207</v>
      </c>
    </row>
    <row r="85" customFormat="false" ht="15" hidden="false" customHeight="false" outlineLevel="0" collapsed="false">
      <c r="A85" s="1" t="s">
        <v>200</v>
      </c>
      <c r="B85" s="1" t="s">
        <v>204</v>
      </c>
      <c r="D85" s="0" t="s">
        <v>208</v>
      </c>
      <c r="E85" s="1" t="s">
        <v>209</v>
      </c>
      <c r="F85" s="8" t="n">
        <v>200</v>
      </c>
      <c r="G85" s="9" t="n">
        <v>1</v>
      </c>
      <c r="H85" s="9" t="n">
        <v>4</v>
      </c>
    </row>
    <row r="86" customFormat="false" ht="15" hidden="false" customHeight="false" outlineLevel="0" collapsed="false">
      <c r="A86" s="1" t="s">
        <v>200</v>
      </c>
      <c r="B86" s="1" t="s">
        <v>78</v>
      </c>
      <c r="E86" s="1" t="s">
        <v>210</v>
      </c>
    </row>
    <row r="87" customFormat="false" ht="15" hidden="false" customHeight="false" outlineLevel="0" collapsed="false">
      <c r="A87" s="1" t="s">
        <v>200</v>
      </c>
      <c r="B87" s="1" t="s">
        <v>204</v>
      </c>
      <c r="D87" s="0" t="s">
        <v>211</v>
      </c>
      <c r="E87" s="1" t="s">
        <v>212</v>
      </c>
      <c r="F87" s="8" t="n">
        <v>100</v>
      </c>
      <c r="G87" s="9" t="n">
        <v>1</v>
      </c>
      <c r="H87" s="9" t="n">
        <v>2</v>
      </c>
    </row>
    <row r="88" customFormat="false" ht="15" hidden="false" customHeight="false" outlineLevel="0" collapsed="false">
      <c r="A88" s="1" t="s">
        <v>200</v>
      </c>
      <c r="B88" s="1" t="s">
        <v>65</v>
      </c>
      <c r="E88" s="1" t="s">
        <v>213</v>
      </c>
    </row>
    <row r="89" customFormat="false" ht="15" hidden="false" customHeight="false" outlineLevel="0" collapsed="false">
      <c r="A89" s="1" t="s">
        <v>200</v>
      </c>
      <c r="B89" s="1" t="s">
        <v>204</v>
      </c>
      <c r="D89" s="0" t="s">
        <v>214</v>
      </c>
      <c r="E89" s="1" t="s">
        <v>215</v>
      </c>
      <c r="F89" s="8" t="n">
        <v>200</v>
      </c>
      <c r="G89" s="9" t="n">
        <v>1</v>
      </c>
      <c r="H89" s="9" t="n">
        <v>4</v>
      </c>
    </row>
    <row r="90" customFormat="false" ht="15" hidden="false" customHeight="false" outlineLevel="0" collapsed="false">
      <c r="A90" s="1" t="s">
        <v>200</v>
      </c>
      <c r="B90" s="1" t="s">
        <v>204</v>
      </c>
      <c r="E90" s="1" t="s">
        <v>216</v>
      </c>
    </row>
    <row r="91" customFormat="false" ht="15" hidden="false" customHeight="false" outlineLevel="0" collapsed="false">
      <c r="A91" s="1" t="s">
        <v>200</v>
      </c>
      <c r="B91" s="1" t="s">
        <v>204</v>
      </c>
      <c r="D91" s="0" t="s">
        <v>217</v>
      </c>
      <c r="E91" s="1" t="s">
        <v>218</v>
      </c>
      <c r="F91" s="8" t="n">
        <v>400</v>
      </c>
      <c r="G91" s="9" t="n">
        <v>1</v>
      </c>
      <c r="H91" s="9" t="n">
        <v>8</v>
      </c>
    </row>
    <row r="92" customFormat="false" ht="15" hidden="false" customHeight="false" outlineLevel="0" collapsed="false">
      <c r="A92" s="1" t="s">
        <v>200</v>
      </c>
      <c r="B92" s="1" t="s">
        <v>54</v>
      </c>
      <c r="E92" s="1" t="s">
        <v>219</v>
      </c>
    </row>
    <row r="93" customFormat="false" ht="15" hidden="false" customHeight="false" outlineLevel="0" collapsed="false">
      <c r="A93" s="1" t="s">
        <v>200</v>
      </c>
      <c r="B93" s="1" t="s">
        <v>204</v>
      </c>
      <c r="D93" s="0" t="s">
        <v>220</v>
      </c>
      <c r="E93" s="1" t="s">
        <v>221</v>
      </c>
      <c r="F93" s="8" t="n">
        <v>200</v>
      </c>
      <c r="G93" s="9" t="n">
        <v>1</v>
      </c>
      <c r="H93" s="9" t="n">
        <v>4</v>
      </c>
    </row>
  </sheetData>
  <autoFilter ref="A1:H9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90"/>
  </cols>
  <sheetData>
    <row r="1" customFormat="false" ht="16.15" hidden="false" customHeight="false" outlineLevel="0" collapsed="false">
      <c r="A1" s="10" t="s">
        <v>222</v>
      </c>
    </row>
    <row r="3" customFormat="false" ht="15" hidden="false" customHeight="false" outlineLevel="0" collapsed="false">
      <c r="A3" s="1" t="s">
        <v>223</v>
      </c>
    </row>
    <row r="4" customFormat="false" ht="15" hidden="false" customHeight="false" outlineLevel="0" collapsed="false">
      <c r="A4" s="1" t="s">
        <v>224</v>
      </c>
    </row>
    <row r="6" customFormat="false" ht="15" hidden="false" customHeight="false" outlineLevel="0" collapsed="false">
      <c r="A6" s="1" t="s">
        <v>225</v>
      </c>
    </row>
    <row r="7" customFormat="false" ht="15" hidden="false" customHeight="false" outlineLevel="0" collapsed="false">
      <c r="A7" s="1" t="s">
        <v>226</v>
      </c>
    </row>
    <row r="8" customFormat="false" ht="15" hidden="false" customHeight="false" outlineLevel="0" collapsed="false">
      <c r="A8" s="1" t="s">
        <v>227</v>
      </c>
    </row>
    <row r="10" customFormat="false" ht="15" hidden="false" customHeight="false" outlineLevel="0" collapsed="false">
      <c r="A10" s="1" t="s">
        <v>228</v>
      </c>
    </row>
    <row r="11" customFormat="false" ht="15" hidden="false" customHeight="false" outlineLevel="0" collapsed="false">
      <c r="A11" s="1" t="s">
        <v>229</v>
      </c>
    </row>
    <row r="12" customFormat="false" ht="15" hidden="false" customHeight="false" outlineLevel="0" collapsed="false">
      <c r="A12" s="1" t="s">
        <v>230</v>
      </c>
    </row>
    <row r="14" customFormat="false" ht="15" hidden="false" customHeight="false" outlineLevel="0" collapsed="false">
      <c r="A14" s="1" t="s">
        <v>231</v>
      </c>
    </row>
    <row r="15" customFormat="false" ht="15" hidden="false" customHeight="false" outlineLevel="0" collapsed="false">
      <c r="A15" s="1" t="s">
        <v>232</v>
      </c>
    </row>
    <row r="16" customFormat="false" ht="15" hidden="false" customHeight="false" outlineLevel="0" collapsed="false">
      <c r="A16" s="1" t="s">
        <v>233</v>
      </c>
    </row>
    <row r="18" customFormat="false" ht="15" hidden="false" customHeight="false" outlineLevel="0" collapsed="false">
      <c r="A18" s="1" t="s">
        <v>234</v>
      </c>
    </row>
    <row r="19" customFormat="false" ht="15" hidden="false" customHeight="false" outlineLevel="0" collapsed="false">
      <c r="A19" s="1" t="s">
        <v>235</v>
      </c>
    </row>
    <row r="20" customFormat="false" ht="15" hidden="false" customHeight="false" outlineLevel="0" collapsed="false">
      <c r="A20" s="1" t="s">
        <v>236</v>
      </c>
    </row>
    <row r="21" customFormat="false" ht="15" hidden="false" customHeight="false" outlineLevel="0" collapsed="false">
      <c r="A21" s="1" t="s">
        <v>237</v>
      </c>
    </row>
    <row r="22" customFormat="false" ht="15" hidden="false" customHeight="false" outlineLevel="0" collapsed="false">
      <c r="A22" s="1" t="s">
        <v>238</v>
      </c>
    </row>
    <row r="24" customFormat="false" ht="15" hidden="false" customHeight="false" outlineLevel="0" collapsed="false">
      <c r="A24" s="1" t="s">
        <v>239</v>
      </c>
    </row>
    <row r="25" customFormat="false" ht="15" hidden="false" customHeight="false" outlineLevel="0" collapsed="false">
      <c r="A25" s="1" t="s">
        <v>240</v>
      </c>
    </row>
    <row r="26" customFormat="false" ht="15" hidden="false" customHeight="false" outlineLevel="0" collapsed="false">
      <c r="A26" s="1" t="s">
        <v>241</v>
      </c>
    </row>
    <row r="28" customFormat="false" ht="15" hidden="false" customHeight="false" outlineLevel="0" collapsed="false">
      <c r="A28" s="1" t="s">
        <v>242</v>
      </c>
    </row>
    <row r="29" customFormat="false" ht="15" hidden="false" customHeight="false" outlineLevel="0" collapsed="false">
      <c r="A29" s="1" t="s">
        <v>243</v>
      </c>
    </row>
    <row r="31" customFormat="false" ht="15" hidden="false" customHeight="false" outlineLevel="0" collapsed="false">
      <c r="A31" s="1" t="s">
        <v>244</v>
      </c>
    </row>
    <row r="32" customFormat="false" ht="15" hidden="false" customHeight="false" outlineLevel="0" collapsed="false">
      <c r="A32" s="1" t="s">
        <v>245</v>
      </c>
    </row>
    <row r="33" customFormat="false" ht="15" hidden="false" customHeight="false" outlineLevel="0" collapsed="false">
      <c r="A33" s="1" t="s">
        <v>246</v>
      </c>
    </row>
    <row r="34" customFormat="false" ht="15" hidden="false" customHeight="false" outlineLevel="0" collapsed="false">
      <c r="A34" s="1" t="s">
        <v>247</v>
      </c>
    </row>
    <row r="36" customFormat="false" ht="15" hidden="false" customHeight="false" outlineLevel="0" collapsed="false">
      <c r="A36" s="1" t="s">
        <v>248</v>
      </c>
    </row>
    <row r="37" customFormat="false" ht="15" hidden="false" customHeight="false" outlineLevel="0" collapsed="false">
      <c r="A37" s="1" t="s">
        <v>249</v>
      </c>
    </row>
    <row r="38" customFormat="false" ht="15" hidden="false" customHeight="false" outlineLevel="0" collapsed="false">
      <c r="A38" s="1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2026-07-15T17:02:42Z</dcterms:created>
  <dc:creator>openpyxl</dc:creator>
  <dc:description/>
  <dc:language>en-US</dc:language>
  <cp:lastModifiedBy/>
  <dcterms:modified xsi:type="dcterms:W3CDTF">2026-07-15T14:00:30Z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