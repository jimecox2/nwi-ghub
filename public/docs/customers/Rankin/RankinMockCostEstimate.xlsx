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062F57"/>
      <sz val="14"/>
    </font>
    <font>
      <b val="1"/>
      <sz val="11"/>
    </font>
    <font>
      <i val="1"/>
      <color rgb="FF555555"/>
      <sz val="9"/>
    </font>
    <font>
      <b val="1"/>
      <color rgb="FFFFFFFF"/>
      <sz val="10"/>
    </font>
    <font>
      <b val="1"/>
    </font>
    <font>
      <i val="1"/>
      <color rgb="FF666666"/>
      <sz val="8"/>
    </font>
    <font>
      <b val="1"/>
      <sz val="12"/>
    </font>
    <font>
      <b val="1"/>
      <color rgb="FF062F57"/>
      <sz val="11"/>
    </font>
  </fonts>
  <fills count="6">
    <fill>
      <patternFill/>
    </fill>
    <fill>
      <patternFill patternType="gray125"/>
    </fill>
    <fill>
      <patternFill patternType="solid">
        <fgColor rgb="FF062F57"/>
        <bgColor rgb="FF062F57"/>
      </patternFill>
    </fill>
    <fill>
      <patternFill patternType="solid">
        <fgColor rgb="FFE8EEF5"/>
        <bgColor rgb="FFE8EEF5"/>
      </patternFill>
    </fill>
    <fill>
      <patternFill patternType="solid">
        <fgColor rgb="FFF3F3F3"/>
        <bgColor rgb="FFF3F3F3"/>
      </patternFill>
    </fill>
    <fill>
      <patternFill patternType="solid">
        <fgColor rgb="FFDCEFE0"/>
        <bgColor rgb="FFDCEFE0"/>
      </patternFill>
    </fill>
  </fills>
  <borders count="3">
    <border>
      <left/>
      <right/>
      <top/>
      <bottom/>
      <diagonal/>
    </border>
    <border>
      <top style="thin"/>
    </border>
    <border>
      <top style="double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0" borderId="0" pivotButton="0" quotePrefix="0" xfId="0"/>
    <xf numFmtId="0" fontId="0" fillId="0" borderId="2" pivotButton="0" quotePrefix="0" xfId="0"/>
    <xf numFmtId="0" fontId="7" fillId="0" borderId="2" pivotButton="0" quotePrefix="0" xfId="0"/>
    <xf numFmtId="4" fontId="7" fillId="0" borderId="2" pivotButton="0" quotePrefix="0" xfId="0"/>
    <xf numFmtId="3" fontId="7" fillId="0" borderId="2" pivotButton="0" quotePrefix="0" xfId="0"/>
    <xf numFmtId="0" fontId="8" fillId="0" borderId="0" pivotButton="0" quotePrefix="0" xfId="0"/>
    <xf numFmtId="0" fontId="0" fillId="3" borderId="0" pivotButton="0" quotePrefix="0" xfId="0"/>
    <xf numFmtId="0" fontId="5" fillId="3" borderId="0" pivotButton="0" quotePrefix="0" xfId="0"/>
    <xf numFmtId="0" fontId="0" fillId="4" borderId="1" pivotButton="0" quotePrefix="0" xfId="0"/>
    <xf numFmtId="0" fontId="5" fillId="4" borderId="1" pivotButton="0" quotePrefix="0" xfId="0"/>
    <xf numFmtId="4" fontId="5" fillId="4" borderId="1" pivotButton="0" quotePrefix="0" xfId="0"/>
    <xf numFmtId="0" fontId="0" fillId="5" borderId="2" pivotButton="0" quotePrefix="0" xfId="0"/>
    <xf numFmtId="0" fontId="7" fillId="5" borderId="2" pivotButton="0" quotePrefix="0" xfId="0"/>
    <xf numFmtId="4" fontId="7" fillId="5" borderId="2" pivotButton="0" quotePrefix="0" xfId="0"/>
    <xf numFmtId="3" fontId="7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83"/>
  <sheetViews>
    <sheetView showGridLines="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34" customWidth="1" min="3" max="3"/>
    <col width="7" customWidth="1" min="4" max="4"/>
    <col width="6" customWidth="1" min="5" max="5"/>
    <col width="11" customWidth="1" min="6" max="6"/>
    <col width="13" customWidth="1" min="7" max="7"/>
    <col width="13" customWidth="1" min="8" max="8"/>
    <col width="10" customWidth="1" min="9" max="9"/>
    <col width="10" customWidth="1" min="10" max="10"/>
    <col width="9" customWidth="1" min="11" max="11"/>
    <col width="52" customWidth="1" min="12" max="12"/>
  </cols>
  <sheetData>
    <row r="1" ht="6" customHeight="1"/>
    <row r="2">
      <c r="B2" s="1" t="inlineStr">
        <is>
          <t>Rankin Inlet, Arviat &amp; Chesterfield Inlet — NWI Last Mile Wireless System</t>
        </is>
      </c>
    </row>
    <row r="3">
      <c r="B3" s="2" t="inlineStr">
        <is>
          <t>Mock Cost Estimate by WBS — 3-Community / 50-Subscriber Solution</t>
        </is>
      </c>
    </row>
    <row r="4">
      <c r="B4" s="3" t="inlineStr">
        <is>
          <t>Prepared by: Northern Wireless Inc. (NWI)    |    Reference: NWI-EST-RANKIN-2026 Rev 0    |    Basis: WBSWithEstimatesV1.xlsx + Scope of Supply Summary</t>
        </is>
      </c>
    </row>
    <row r="6" ht="30" customHeight="1">
      <c r="B6" s="4" t="inlineStr">
        <is>
          <t>WBS No</t>
        </is>
      </c>
      <c r="C6" s="4" t="inlineStr">
        <is>
          <t>Item</t>
        </is>
      </c>
      <c r="D6" s="4" t="inlineStr">
        <is>
          <t>Unit</t>
        </is>
      </c>
      <c r="E6" s="4" t="inlineStr">
        <is>
          <t>Qty</t>
        </is>
      </c>
      <c r="F6" s="4" t="inlineStr">
        <is>
          <t>Unit Price</t>
        </is>
      </c>
      <c r="G6" s="4" t="inlineStr">
        <is>
          <t>Our Cost Total</t>
        </is>
      </c>
      <c r="H6" s="4" t="inlineStr">
        <is>
          <t>Cust Cost Total</t>
        </is>
      </c>
      <c r="I6" s="4" t="inlineStr">
        <is>
          <t>Profit</t>
        </is>
      </c>
      <c r="J6" s="4" t="inlineStr">
        <is>
          <t>Std. Delivery (Cal. Days)</t>
        </is>
      </c>
      <c r="K6" s="4" t="inlineStr">
        <is>
          <t>Effort (Hrs)</t>
        </is>
      </c>
      <c r="L6" s="4" t="inlineStr">
        <is>
          <t>Notes / Source Mapping</t>
        </is>
      </c>
    </row>
    <row r="7">
      <c r="B7" s="18" t="n"/>
      <c r="C7" s="19" t="inlineStr">
        <is>
          <t>Engineering &amp; Admin</t>
        </is>
      </c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</row>
    <row r="8">
      <c r="B8" t="inlineStr">
        <is>
          <t>E-SVT</t>
        </is>
      </c>
      <c r="C8" s="6" t="inlineStr">
        <is>
          <t>Site visit (2 days)</t>
        </is>
      </c>
      <c r="D8" t="inlineStr">
        <is>
          <t>Each</t>
        </is>
      </c>
      <c r="E8" t="n">
        <v>1</v>
      </c>
      <c r="F8" s="7" t="n">
        <v>1400</v>
      </c>
      <c r="G8" s="7">
        <f>E8*F8</f>
        <v/>
      </c>
      <c r="H8" s="7">
        <f>G8*1.3</f>
        <v/>
      </c>
      <c r="I8" s="7">
        <f>H8-G8</f>
        <v/>
      </c>
      <c r="J8" t="n">
        <v>2</v>
      </c>
      <c r="K8" t="n">
        <v>16</v>
      </c>
      <c r="L8" s="8" t="inlineStr">
        <is>
          <t>Site study &amp; conceptual design — kickoff site visit</t>
        </is>
      </c>
    </row>
    <row r="9">
      <c r="B9" t="inlineStr">
        <is>
          <t>E-SST</t>
        </is>
      </c>
      <c r="C9" s="6" t="inlineStr">
        <is>
          <t>Site study</t>
        </is>
      </c>
      <c r="D9" t="inlineStr">
        <is>
          <t>Days</t>
        </is>
      </c>
      <c r="E9" t="n">
        <v>1</v>
      </c>
      <c r="F9" s="7" t="n">
        <v>2000</v>
      </c>
      <c r="G9" s="7">
        <f>E9*F9</f>
        <v/>
      </c>
      <c r="H9" s="7">
        <f>G9*1.3</f>
        <v/>
      </c>
      <c r="I9" s="7">
        <f>H9-G9</f>
        <v/>
      </c>
      <c r="J9" t="n">
        <v>5</v>
      </c>
      <c r="K9" t="n">
        <v>40</v>
      </c>
      <c r="L9" s="8" t="inlineStr">
        <is>
          <t>Site study &amp; conceptual design</t>
        </is>
      </c>
    </row>
    <row r="10">
      <c r="B10" t="inlineStr">
        <is>
          <t>E-SLD</t>
        </is>
      </c>
      <c r="C10" s="6" t="inlineStr">
        <is>
          <t>Site layout drawing</t>
        </is>
      </c>
      <c r="D10" t="inlineStr">
        <is>
          <t>Days</t>
        </is>
      </c>
      <c r="E10" t="n">
        <v>1</v>
      </c>
      <c r="F10" s="7" t="n">
        <v>800</v>
      </c>
      <c r="G10" s="7">
        <f>E10*F10</f>
        <v/>
      </c>
      <c r="H10" s="7">
        <f>G10*1.3</f>
        <v/>
      </c>
      <c r="I10" s="7">
        <f>H10-G10</f>
        <v/>
      </c>
      <c r="J10" t="n">
        <v>2</v>
      </c>
      <c r="K10" t="n">
        <v>16</v>
      </c>
      <c r="L10" s="8" t="inlineStr">
        <is>
          <t>Layout drawing and BOM</t>
        </is>
      </c>
    </row>
    <row r="11">
      <c r="B11" t="inlineStr">
        <is>
          <t>E-NDD</t>
        </is>
      </c>
      <c r="C11" s="6" t="inlineStr">
        <is>
          <t>Network design and drawing</t>
        </is>
      </c>
      <c r="D11" t="inlineStr">
        <is>
          <t>Days</t>
        </is>
      </c>
      <c r="E11" t="n">
        <v>1</v>
      </c>
      <c r="F11" s="7" t="n">
        <v>1200</v>
      </c>
      <c r="G11" s="7">
        <f>E11*F11</f>
        <v/>
      </c>
      <c r="H11" s="7">
        <f>G11*1.3</f>
        <v/>
      </c>
      <c r="I11" s="7">
        <f>H11-G11</f>
        <v/>
      </c>
      <c r="J11" t="n">
        <v>3</v>
      </c>
      <c r="K11" t="n">
        <v>24</v>
      </c>
      <c r="L11" s="8" t="inlineStr">
        <is>
          <t>Network design and configuration drawings</t>
        </is>
      </c>
    </row>
    <row r="12">
      <c r="B12" t="inlineStr">
        <is>
          <t>E-TMN</t>
        </is>
      </c>
      <c r="C12" s="6" t="inlineStr">
        <is>
          <t>Technical/Training Manual</t>
        </is>
      </c>
      <c r="D12" t="inlineStr">
        <is>
          <t>Days</t>
        </is>
      </c>
      <c r="E12" t="n">
        <v>1</v>
      </c>
      <c r="F12" s="7" t="n">
        <v>2000</v>
      </c>
      <c r="G12" s="7">
        <f>E12*F12</f>
        <v/>
      </c>
      <c r="H12" s="7">
        <f>G12*1.3</f>
        <v/>
      </c>
      <c r="I12" s="7">
        <f>H12-G12</f>
        <v/>
      </c>
      <c r="J12" t="n">
        <v>5</v>
      </c>
      <c r="K12" t="n">
        <v>40</v>
      </c>
      <c r="L12" s="8" t="inlineStr">
        <is>
          <t>Training manual documentation</t>
        </is>
      </c>
    </row>
    <row r="13">
      <c r="B13" t="inlineStr">
        <is>
          <t>E-BDS</t>
        </is>
      </c>
      <c r="C13" s="6" t="inlineStr">
        <is>
          <t>Engineering — Base Station subsystem</t>
        </is>
      </c>
      <c r="D13" t="inlineStr">
        <is>
          <t>Days</t>
        </is>
      </c>
      <c r="E13" t="n">
        <v>1</v>
      </c>
      <c r="F13" s="7" t="n">
        <v>1200</v>
      </c>
      <c r="G13" s="7">
        <f>E13*F13</f>
        <v/>
      </c>
      <c r="H13" s="7">
        <f>G13*1.3</f>
        <v/>
      </c>
      <c r="I13" s="7">
        <f>H13-G13</f>
        <v/>
      </c>
      <c r="J13" t="n">
        <v>3</v>
      </c>
      <c r="K13" t="n">
        <v>24</v>
      </c>
      <c r="L13" s="8" t="inlineStr">
        <is>
          <t>Coordination — base station (Bandwidth Distribution System) engineering</t>
        </is>
      </c>
    </row>
    <row r="14">
      <c r="B14" t="inlineStr">
        <is>
          <t>E-BCS</t>
        </is>
      </c>
      <c r="C14" s="6" t="inlineStr">
        <is>
          <t>Engineering — Wired Network subsystem</t>
        </is>
      </c>
      <c r="D14" t="inlineStr">
        <is>
          <t>Days</t>
        </is>
      </c>
      <c r="E14" t="n">
        <v>1</v>
      </c>
      <c r="F14" s="7" t="n">
        <v>1600</v>
      </c>
      <c r="G14" s="7">
        <f>E14*F14</f>
        <v/>
      </c>
      <c r="H14" s="7">
        <f>G14*1.3</f>
        <v/>
      </c>
      <c r="I14" s="7">
        <f>H14-G14</f>
        <v/>
      </c>
      <c r="J14" t="n">
        <v>4</v>
      </c>
      <c r="K14" t="n">
        <v>32</v>
      </c>
      <c r="L14" s="8" t="inlineStr">
        <is>
          <t>Coordination — wired network / bandwidth control gateway engineering</t>
        </is>
      </c>
    </row>
    <row r="15">
      <c r="B15" t="inlineStr">
        <is>
          <t>E-CPE</t>
        </is>
      </c>
      <c r="C15" s="6" t="inlineStr">
        <is>
          <t>Engineering — Premise Equipment subsystem</t>
        </is>
      </c>
      <c r="D15" t="inlineStr">
        <is>
          <t>Days</t>
        </is>
      </c>
      <c r="E15" t="n">
        <v>1</v>
      </c>
      <c r="F15" s="7" t="n">
        <v>400</v>
      </c>
      <c r="G15" s="7">
        <f>E15*F15</f>
        <v/>
      </c>
      <c r="H15" s="7">
        <f>G15*1.3</f>
        <v/>
      </c>
      <c r="I15" s="7">
        <f>H15-G15</f>
        <v/>
      </c>
      <c r="J15" t="n">
        <v>1</v>
      </c>
      <c r="K15" t="n">
        <v>8</v>
      </c>
      <c r="L15" s="8" t="inlineStr">
        <is>
          <t>Coordination — CPE configuration template for 50 units</t>
        </is>
      </c>
    </row>
    <row r="16">
      <c r="B16" t="inlineStr">
        <is>
          <t>PM-COORD*</t>
        </is>
      </c>
      <c r="C16" s="6" t="inlineStr">
        <is>
          <t>Project Management &amp; Coordination</t>
        </is>
      </c>
      <c r="D16" t="inlineStr">
        <is>
          <t>Days</t>
        </is>
      </c>
      <c r="E16" t="n">
        <v>1</v>
      </c>
      <c r="F16" s="7" t="n">
        <v>1600</v>
      </c>
      <c r="G16" s="7">
        <f>E16*F16</f>
        <v/>
      </c>
      <c r="H16" s="7">
        <f>G16*1.3</f>
        <v/>
      </c>
      <c r="I16" s="7">
        <f>H16-G16</f>
        <v/>
      </c>
      <c r="J16" t="n">
        <v>4</v>
      </c>
      <c r="K16" t="n">
        <v>32</v>
      </c>
      <c r="L16" s="8" t="inlineStr">
        <is>
          <t>*By analogy at WBS $400/day rate (no dedicated WBS row); oversees engineering-to-startup handoff</t>
        </is>
      </c>
    </row>
    <row r="17">
      <c r="B17" t="inlineStr">
        <is>
          <t>PROC*</t>
        </is>
      </c>
      <c r="C17" s="6" t="inlineStr">
        <is>
          <t>Procurement / Purchasing Support</t>
        </is>
      </c>
      <c r="D17" t="inlineStr">
        <is>
          <t>Days</t>
        </is>
      </c>
      <c r="E17" t="n">
        <v>1</v>
      </c>
      <c r="F17" s="7" t="n">
        <v>800</v>
      </c>
      <c r="G17" s="7">
        <f>E17*F17</f>
        <v/>
      </c>
      <c r="H17" s="7">
        <f>G17*1.3</f>
        <v/>
      </c>
      <c r="I17" s="7">
        <f>H17-G17</f>
        <v/>
      </c>
      <c r="J17" t="n">
        <v>2</v>
      </c>
      <c r="K17" t="n">
        <v>16</v>
      </c>
      <c r="L17" s="8" t="inlineStr">
        <is>
          <t>*Matches Sample Cost Template 'Procurement time' line (2 days / $800)</t>
        </is>
      </c>
    </row>
    <row r="18">
      <c r="B18" s="20" t="n"/>
      <c r="C18" s="21" t="inlineStr">
        <is>
          <t>Subtotal — Engineering &amp; Admin</t>
        </is>
      </c>
      <c r="D18" s="20" t="n"/>
      <c r="E18" s="20" t="n"/>
      <c r="F18" s="20" t="n"/>
      <c r="G18" s="22">
        <f>SUM(G8:G17)</f>
        <v/>
      </c>
      <c r="H18" s="22">
        <f>SUM(H8:H17)</f>
        <v/>
      </c>
      <c r="I18" s="22">
        <f>SUM(I8:I17)</f>
        <v/>
      </c>
      <c r="J18" s="21">
        <f>MAX(J8:J17)</f>
        <v/>
      </c>
      <c r="K18" s="21">
        <f>SUM(K8:K17)</f>
        <v/>
      </c>
      <c r="L18" s="20" t="n"/>
    </row>
    <row r="20">
      <c r="B20" s="18" t="n"/>
      <c r="C20" s="19" t="inlineStr">
        <is>
          <t>Base Station</t>
        </is>
      </c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</row>
    <row r="21">
      <c r="B21" t="inlineStr">
        <is>
          <t>C-BDS-APC</t>
        </is>
      </c>
      <c r="C21" s="6" t="inlineStr">
        <is>
          <t>Access Point Cabinet</t>
        </is>
      </c>
      <c r="D21" t="inlineStr">
        <is>
          <t>Each</t>
        </is>
      </c>
      <c r="E21" t="n">
        <v>1</v>
      </c>
      <c r="F21" s="7" t="n">
        <v>2200</v>
      </c>
      <c r="G21" s="7">
        <f>E21*F21</f>
        <v/>
      </c>
      <c r="H21" s="7">
        <f>G21*1.3</f>
        <v/>
      </c>
      <c r="I21" s="7">
        <f>H21-G21</f>
        <v/>
      </c>
      <c r="J21" t="n">
        <v>21</v>
      </c>
      <c r="L21" s="8" t="inlineStr">
        <is>
          <t>1 – Access point &amp; cabinet</t>
        </is>
      </c>
    </row>
    <row r="22">
      <c r="B22" t="inlineStr">
        <is>
          <t>C-BDS-WAP</t>
        </is>
      </c>
      <c r="C22" s="6" t="inlineStr">
        <is>
          <t>Wireless Access Point / Radio Card</t>
        </is>
      </c>
      <c r="D22" t="inlineStr">
        <is>
          <t>Each</t>
        </is>
      </c>
      <c r="E22" t="n">
        <v>2</v>
      </c>
      <c r="F22" s="7" t="n">
        <v>2200</v>
      </c>
      <c r="G22" s="7">
        <f>E22*F22</f>
        <v/>
      </c>
      <c r="H22" s="7">
        <f>G22*1.3</f>
        <v/>
      </c>
      <c r="I22" s="7">
        <f>H22-G22</f>
        <v/>
      </c>
      <c r="J22" t="n">
        <v>21</v>
      </c>
      <c r="L22" s="8" t="inlineStr">
        <is>
          <t>2 – Radio Card (AP radio modules)</t>
        </is>
      </c>
    </row>
    <row r="23">
      <c r="B23" t="inlineStr">
        <is>
          <t>C-BDS-ANT</t>
        </is>
      </c>
      <c r="C23" s="6" t="inlineStr">
        <is>
          <t>Omni Antenna</t>
        </is>
      </c>
      <c r="D23" t="inlineStr">
        <is>
          <t>Each</t>
        </is>
      </c>
      <c r="E23" t="n">
        <v>2</v>
      </c>
      <c r="F23" s="7" t="n">
        <v>600</v>
      </c>
      <c r="G23" s="7">
        <f>E23*F23</f>
        <v/>
      </c>
      <c r="H23" s="7">
        <f>G23*1.3</f>
        <v/>
      </c>
      <c r="I23" s="7">
        <f>H23-G23</f>
        <v/>
      </c>
      <c r="J23" t="n">
        <v>14</v>
      </c>
      <c r="L23" s="8" t="inlineStr">
        <is>
          <t>2 – Antennas/Amplifier (antenna side)</t>
        </is>
      </c>
    </row>
    <row r="24">
      <c r="B24" t="inlineStr">
        <is>
          <t>C-BDS-AMP</t>
        </is>
      </c>
      <c r="C24" s="6" t="inlineStr">
        <is>
          <t>Bi-Directional Amplifier</t>
        </is>
      </c>
      <c r="D24" t="inlineStr">
        <is>
          <t>Each</t>
        </is>
      </c>
      <c r="E24" t="n">
        <v>2</v>
      </c>
      <c r="F24" s="7" t="n">
        <v>800</v>
      </c>
      <c r="G24" s="7">
        <f>E24*F24</f>
        <v/>
      </c>
      <c r="H24" s="7">
        <f>G24*1.3</f>
        <v/>
      </c>
      <c r="I24" s="7">
        <f>H24-G24</f>
        <v/>
      </c>
      <c r="J24" t="n">
        <v>14</v>
      </c>
      <c r="L24" s="8" t="inlineStr">
        <is>
          <t>2 – Antennas/Amplifier (amplifier side)</t>
        </is>
      </c>
    </row>
    <row r="25">
      <c r="B25" t="inlineStr">
        <is>
          <t>C-BDS-CBL</t>
        </is>
      </c>
      <c r="C25" s="6" t="inlineStr">
        <is>
          <t>Cable Coax</t>
        </is>
      </c>
      <c r="D25" t="inlineStr">
        <is>
          <t>Each</t>
        </is>
      </c>
      <c r="E25" t="n">
        <v>2</v>
      </c>
      <c r="F25" s="7" t="n">
        <v>150</v>
      </c>
      <c r="G25" s="7">
        <f>E25*F25</f>
        <v/>
      </c>
      <c r="H25" s="7">
        <f>G25*1.3</f>
        <v/>
      </c>
      <c r="I25" s="7">
        <f>H25-G25</f>
        <v/>
      </c>
      <c r="J25" t="n">
        <v>7</v>
      </c>
      <c r="L25" s="8" t="inlineStr">
        <is>
          <t>2 – Cabling and connectors (cable)</t>
        </is>
      </c>
    </row>
    <row r="26">
      <c r="B26" t="inlineStr">
        <is>
          <t>C-BDS-CON</t>
        </is>
      </c>
      <c r="C26" s="6" t="inlineStr">
        <is>
          <t>Connectors</t>
        </is>
      </c>
      <c r="D26" t="inlineStr">
        <is>
          <t>Each</t>
        </is>
      </c>
      <c r="E26" t="n">
        <v>2</v>
      </c>
      <c r="F26" s="7" t="n">
        <v>100</v>
      </c>
      <c r="G26" s="7">
        <f>E26*F26</f>
        <v/>
      </c>
      <c r="H26" s="7">
        <f>G26*1.3</f>
        <v/>
      </c>
      <c r="I26" s="7">
        <f>H26-G26</f>
        <v/>
      </c>
      <c r="J26" t="n">
        <v>7</v>
      </c>
      <c r="L26" s="8" t="inlineStr">
        <is>
          <t>2 – Cabling and connectors (connectors)</t>
        </is>
      </c>
    </row>
    <row r="27">
      <c r="B27" t="inlineStr">
        <is>
          <t>C-BDS-LGP</t>
        </is>
      </c>
      <c r="C27" s="6" t="inlineStr">
        <is>
          <t>Lightning Protection</t>
        </is>
      </c>
      <c r="D27" t="inlineStr">
        <is>
          <t>Each</t>
        </is>
      </c>
      <c r="E27" t="n">
        <v>1</v>
      </c>
      <c r="F27" s="7" t="n">
        <v>150</v>
      </c>
      <c r="G27" s="7">
        <f>E27*F27</f>
        <v/>
      </c>
      <c r="H27" s="7">
        <f>G27*1.3</f>
        <v/>
      </c>
      <c r="I27" s="7">
        <f>H27-G27</f>
        <v/>
      </c>
      <c r="J27" t="n">
        <v>10</v>
      </c>
      <c r="L27" s="8" t="inlineStr">
        <is>
          <t>Power outage protection and power conditioning</t>
        </is>
      </c>
    </row>
    <row r="28">
      <c r="B28" t="inlineStr">
        <is>
          <t>C-BDS-POE</t>
        </is>
      </c>
      <c r="C28" s="6" t="inlineStr">
        <is>
          <t>Power Over Ethernet / Conditioning</t>
        </is>
      </c>
      <c r="D28" t="inlineStr">
        <is>
          <t>Each</t>
        </is>
      </c>
      <c r="E28" t="n">
        <v>1</v>
      </c>
      <c r="F28" s="7" t="n">
        <v>200</v>
      </c>
      <c r="G28" s="7">
        <f>E28*F28</f>
        <v/>
      </c>
      <c r="H28" s="7">
        <f>G28*1.3</f>
        <v/>
      </c>
      <c r="I28" s="7">
        <f>H28-G28</f>
        <v/>
      </c>
      <c r="J28" t="n">
        <v>10</v>
      </c>
      <c r="L28" s="8" t="inlineStr">
        <is>
          <t>Power outage protection and power conditioning</t>
        </is>
      </c>
    </row>
    <row r="29">
      <c r="B29" t="inlineStr">
        <is>
          <t>C-BRK-ASY</t>
        </is>
      </c>
      <c r="C29" s="6" t="inlineStr">
        <is>
          <t>Mast Mounting Bracket Assembly</t>
        </is>
      </c>
      <c r="D29" t="inlineStr">
        <is>
          <t>Each</t>
        </is>
      </c>
      <c r="E29" t="n">
        <v>1</v>
      </c>
      <c r="F29" s="7" t="n">
        <v>180</v>
      </c>
      <c r="G29" s="7">
        <f>E29*F29</f>
        <v/>
      </c>
      <c r="H29" s="7">
        <f>G29*1.3</f>
        <v/>
      </c>
      <c r="I29" s="7">
        <f>H29-G29</f>
        <v/>
      </c>
      <c r="J29" t="n">
        <v>3</v>
      </c>
      <c r="K29" t="n">
        <v>4</v>
      </c>
      <c r="L29" s="8" t="inlineStr">
        <is>
          <t>Exclusions: NWI supplies bracket to mount antennas to mast (no full tower in this scope)</t>
        </is>
      </c>
    </row>
    <row r="30">
      <c r="B30" t="inlineStr">
        <is>
          <t>I-BDS</t>
        </is>
      </c>
      <c r="C30" s="6" t="inlineStr">
        <is>
          <t>Install — Base Station</t>
        </is>
      </c>
      <c r="D30" t="inlineStr">
        <is>
          <t>Each</t>
        </is>
      </c>
      <c r="E30" t="n">
        <v>1</v>
      </c>
      <c r="F30" s="7" t="n">
        <v>800</v>
      </c>
      <c r="G30" s="7">
        <f>E30*F30</f>
        <v/>
      </c>
      <c r="H30" s="7">
        <f>G30*1.3</f>
        <v/>
      </c>
      <c r="I30" s="7">
        <f>H30-G30</f>
        <v/>
      </c>
      <c r="J30" t="n">
        <v>2</v>
      </c>
      <c r="K30" t="n">
        <v>16</v>
      </c>
      <c r="L30" s="8" t="inlineStr">
        <is>
          <t>Installation of equipment (base station)</t>
        </is>
      </c>
    </row>
    <row r="31">
      <c r="B31" t="inlineStr">
        <is>
          <t>S-BDS</t>
        </is>
      </c>
      <c r="C31" s="6" t="inlineStr">
        <is>
          <t>Startup — Base Station</t>
        </is>
      </c>
      <c r="D31" t="inlineStr">
        <is>
          <t>Each</t>
        </is>
      </c>
      <c r="E31" t="n">
        <v>1</v>
      </c>
      <c r="F31" s="7" t="n">
        <v>400</v>
      </c>
      <c r="G31" s="7">
        <f>E31*F31</f>
        <v/>
      </c>
      <c r="H31" s="7">
        <f>G31*1.3</f>
        <v/>
      </c>
      <c r="I31" s="7">
        <f>H31-G31</f>
        <v/>
      </c>
      <c r="J31" t="n">
        <v>1</v>
      </c>
      <c r="K31" t="n">
        <v>8</v>
      </c>
      <c r="L31" s="8" t="inlineStr">
        <is>
          <t>On-the-ground / installed on-site testing (base station)</t>
        </is>
      </c>
    </row>
    <row r="32">
      <c r="B32" s="20" t="n"/>
      <c r="C32" s="21" t="inlineStr">
        <is>
          <t>Subtotal — Base Station</t>
        </is>
      </c>
      <c r="D32" s="20" t="n"/>
      <c r="E32" s="20" t="n"/>
      <c r="F32" s="20" t="n"/>
      <c r="G32" s="22">
        <f>SUM(G21:G31)</f>
        <v/>
      </c>
      <c r="H32" s="22">
        <f>SUM(H21:H31)</f>
        <v/>
      </c>
      <c r="I32" s="22">
        <f>SUM(I21:I31)</f>
        <v/>
      </c>
      <c r="J32" s="21">
        <f>MAX(J21:J31)</f>
        <v/>
      </c>
      <c r="K32" s="21">
        <f>SUM(K21:K31)</f>
        <v/>
      </c>
      <c r="L32" s="20" t="n"/>
    </row>
    <row r="34">
      <c r="B34" s="18" t="n"/>
      <c r="C34" s="19" t="inlineStr">
        <is>
          <t>Wired Network</t>
        </is>
      </c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</row>
    <row r="35">
      <c r="B35" t="inlineStr">
        <is>
          <t>C-BCS-CHW</t>
        </is>
      </c>
      <c r="C35" s="6" t="inlineStr">
        <is>
          <t>Bandwidth Control Gateway — Hardware</t>
        </is>
      </c>
      <c r="D35" t="inlineStr">
        <is>
          <t>Each</t>
        </is>
      </c>
      <c r="E35" t="n">
        <v>1</v>
      </c>
      <c r="F35" s="7" t="n">
        <v>4000</v>
      </c>
      <c r="G35" s="7">
        <f>E35*F35</f>
        <v/>
      </c>
      <c r="H35" s="7">
        <f>G35*1.3</f>
        <v/>
      </c>
      <c r="I35" s="7">
        <f>H35-G35</f>
        <v/>
      </c>
      <c r="J35" t="n">
        <v>21</v>
      </c>
      <c r="L35" s="8" t="inlineStr">
        <is>
          <t>Bandwidth control gateway</t>
        </is>
      </c>
    </row>
    <row r="36">
      <c r="B36" t="inlineStr">
        <is>
          <t>C-BCS-CSW</t>
        </is>
      </c>
      <c r="C36" s="6" t="inlineStr">
        <is>
          <t>Bandwidth Control Gateway — Software</t>
        </is>
      </c>
      <c r="D36" t="inlineStr">
        <is>
          <t>Each</t>
        </is>
      </c>
      <c r="E36" t="n">
        <v>1</v>
      </c>
      <c r="F36" s="7" t="n">
        <v>1500</v>
      </c>
      <c r="G36" s="7">
        <f>E36*F36</f>
        <v/>
      </c>
      <c r="H36" s="7">
        <f>G36*1.3</f>
        <v/>
      </c>
      <c r="I36" s="7">
        <f>H36-G36</f>
        <v/>
      </c>
      <c r="J36" t="n">
        <v>14</v>
      </c>
      <c r="L36" s="8" t="inlineStr">
        <is>
          <t>Bandwidth control gateway</t>
        </is>
      </c>
    </row>
    <row r="37">
      <c r="B37" t="inlineStr">
        <is>
          <t>C-BCS-CBL</t>
        </is>
      </c>
      <c r="C37" s="6" t="inlineStr">
        <is>
          <t>Cable — Wired Network</t>
        </is>
      </c>
      <c r="D37" t="inlineStr">
        <is>
          <t>Each</t>
        </is>
      </c>
      <c r="E37" t="n">
        <v>1</v>
      </c>
      <c r="F37" s="7" t="n">
        <v>300</v>
      </c>
      <c r="G37" s="7">
        <f>E37*F37</f>
        <v/>
      </c>
      <c r="H37" s="7">
        <f>G37*1.3</f>
        <v/>
      </c>
      <c r="I37" s="7">
        <f>H37-G37</f>
        <v/>
      </c>
      <c r="J37" t="n">
        <v>10</v>
      </c>
      <c r="L37" s="8" t="inlineStr">
        <is>
          <t>Wired network cabling</t>
        </is>
      </c>
    </row>
    <row r="38">
      <c r="B38" t="inlineStr">
        <is>
          <t>C-BSS-RTR</t>
        </is>
      </c>
      <c r="C38" s="6" t="inlineStr">
        <is>
          <t>Router / Main Hub-Switch</t>
        </is>
      </c>
      <c r="D38" t="inlineStr">
        <is>
          <t>Each</t>
        </is>
      </c>
      <c r="E38" t="n">
        <v>1</v>
      </c>
      <c r="F38" s="7" t="n">
        <v>2500</v>
      </c>
      <c r="G38" s="7">
        <f>E38*F38</f>
        <v/>
      </c>
      <c r="H38" s="7">
        <f>G38*1.3</f>
        <v/>
      </c>
      <c r="I38" s="7">
        <f>H38-G38</f>
        <v/>
      </c>
      <c r="J38" t="n">
        <v>21</v>
      </c>
      <c r="L38" s="8" t="inlineStr">
        <is>
          <t>Main Hub/switch</t>
        </is>
      </c>
    </row>
    <row r="39">
      <c r="B39" t="inlineStr">
        <is>
          <t>C-BCS-LGP*</t>
        </is>
      </c>
      <c r="C39" s="6" t="inlineStr">
        <is>
          <t>Power Outage Protection &amp; Conditioning</t>
        </is>
      </c>
      <c r="D39" t="inlineStr">
        <is>
          <t>Each</t>
        </is>
      </c>
      <c r="E39" t="n">
        <v>1</v>
      </c>
      <c r="F39" s="7" t="n">
        <v>150</v>
      </c>
      <c r="G39" s="7">
        <f>E39*F39</f>
        <v/>
      </c>
      <c r="H39" s="7">
        <f>G39*1.3</f>
        <v/>
      </c>
      <c r="I39" s="7">
        <f>H39-G39</f>
        <v/>
      </c>
      <c r="J39" t="n">
        <v>10</v>
      </c>
      <c r="L39" s="8" t="inlineStr">
        <is>
          <t>*Wired network side; cost by analogy to C-BDS-LGP (no dedicated WBS row)</t>
        </is>
      </c>
    </row>
    <row r="40">
      <c r="B40" t="inlineStr">
        <is>
          <t>I-BCS</t>
        </is>
      </c>
      <c r="C40" s="6" t="inlineStr">
        <is>
          <t>Install — Wired Network</t>
        </is>
      </c>
      <c r="D40" t="inlineStr">
        <is>
          <t>Each</t>
        </is>
      </c>
      <c r="E40" t="n">
        <v>1</v>
      </c>
      <c r="F40" s="7" t="n">
        <v>2000</v>
      </c>
      <c r="G40" s="7">
        <f>E40*F40</f>
        <v/>
      </c>
      <c r="H40" s="7">
        <f>G40*1.3</f>
        <v/>
      </c>
      <c r="I40" s="7">
        <f>H40-G40</f>
        <v/>
      </c>
      <c r="J40" t="n">
        <v>3</v>
      </c>
      <c r="K40" t="n">
        <v>24</v>
      </c>
      <c r="L40" s="8" t="inlineStr">
        <is>
          <t>Installation of equipment / configuration (wired network)</t>
        </is>
      </c>
    </row>
    <row r="41">
      <c r="B41" t="inlineStr">
        <is>
          <t>S-BCS</t>
        </is>
      </c>
      <c r="C41" s="6" t="inlineStr">
        <is>
          <t>Startup — Wired Network</t>
        </is>
      </c>
      <c r="D41" t="inlineStr">
        <is>
          <t>Each</t>
        </is>
      </c>
      <c r="E41" t="n">
        <v>1</v>
      </c>
      <c r="F41" s="7" t="n">
        <v>800</v>
      </c>
      <c r="G41" s="7">
        <f>E41*F41</f>
        <v/>
      </c>
      <c r="H41" s="7">
        <f>G41*1.3</f>
        <v/>
      </c>
      <c r="I41" s="7">
        <f>H41-G41</f>
        <v/>
      </c>
      <c r="J41" t="n">
        <v>2</v>
      </c>
      <c r="K41" t="n">
        <v>16</v>
      </c>
      <c r="L41" s="8" t="inlineStr">
        <is>
          <t>On-the-ground / installed on-site testing (wired network)</t>
        </is>
      </c>
    </row>
    <row r="42">
      <c r="B42" s="20" t="n"/>
      <c r="C42" s="21" t="inlineStr">
        <is>
          <t>Subtotal — Wired Network</t>
        </is>
      </c>
      <c r="D42" s="20" t="n"/>
      <c r="E42" s="20" t="n"/>
      <c r="F42" s="20" t="n"/>
      <c r="G42" s="22">
        <f>SUM(G35:G41)</f>
        <v/>
      </c>
      <c r="H42" s="22">
        <f>SUM(H35:H41)</f>
        <v/>
      </c>
      <c r="I42" s="22">
        <f>SUM(I35:I41)</f>
        <v/>
      </c>
      <c r="J42" s="21">
        <f>MAX(J35:J41)</f>
        <v/>
      </c>
      <c r="K42" s="21">
        <f>SUM(K35:K41)</f>
        <v/>
      </c>
      <c r="L42" s="20" t="n"/>
    </row>
    <row r="44">
      <c r="B44" s="18" t="n"/>
      <c r="C44" s="19" t="inlineStr">
        <is>
          <t>Premise Equipment (Qty 50 Subscribers)</t>
        </is>
      </c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</row>
    <row r="45">
      <c r="B45" t="inlineStr">
        <is>
          <t>C-CPE-CWD</t>
        </is>
      </c>
      <c r="C45" s="6" t="inlineStr">
        <is>
          <t>Modem/Radio (Wireless Device)</t>
        </is>
      </c>
      <c r="D45" t="inlineStr">
        <is>
          <t>Each</t>
        </is>
      </c>
      <c r="E45" t="n">
        <v>50</v>
      </c>
      <c r="F45" s="7" t="n">
        <v>175</v>
      </c>
      <c r="G45" s="7">
        <f>E45*F45</f>
        <v/>
      </c>
      <c r="H45" s="7">
        <f>G45*1.3</f>
        <v/>
      </c>
      <c r="I45" s="7">
        <f>H45-G45</f>
        <v/>
      </c>
      <c r="J45" t="n">
        <v>14</v>
      </c>
      <c r="L45" s="8" t="inlineStr">
        <is>
          <t>50 – Modem/Radio</t>
        </is>
      </c>
    </row>
    <row r="46">
      <c r="B46" t="inlineStr">
        <is>
          <t>C-CPE-ANT</t>
        </is>
      </c>
      <c r="C46" s="6" t="inlineStr">
        <is>
          <t>Patch Antenna</t>
        </is>
      </c>
      <c r="D46" t="inlineStr">
        <is>
          <t>Each</t>
        </is>
      </c>
      <c r="E46" t="n">
        <v>50</v>
      </c>
      <c r="F46" s="7" t="n">
        <v>25</v>
      </c>
      <c r="G46" s="7">
        <f>E46*F46</f>
        <v/>
      </c>
      <c r="H46" s="7">
        <f>G46*1.3</f>
        <v/>
      </c>
      <c r="I46" s="7">
        <f>H46-G46</f>
        <v/>
      </c>
      <c r="J46" t="n">
        <v>14</v>
      </c>
      <c r="L46" s="8" t="inlineStr">
        <is>
          <t>50 – Patch Antenna</t>
        </is>
      </c>
    </row>
    <row r="47">
      <c r="B47" t="inlineStr">
        <is>
          <t>C-CPE-CBL</t>
        </is>
      </c>
      <c r="C47" s="6" t="inlineStr">
        <is>
          <t>RF Cable with Connectors</t>
        </is>
      </c>
      <c r="D47" t="inlineStr">
        <is>
          <t>Each</t>
        </is>
      </c>
      <c r="E47" t="n">
        <v>50</v>
      </c>
      <c r="F47" s="7" t="n">
        <v>8</v>
      </c>
      <c r="G47" s="7">
        <f>E47*F47</f>
        <v/>
      </c>
      <c r="H47" s="7">
        <f>G47*1.3</f>
        <v/>
      </c>
      <c r="I47" s="7">
        <f>H47-G47</f>
        <v/>
      </c>
      <c r="J47" t="n">
        <v>7</v>
      </c>
      <c r="L47" s="8" t="inlineStr">
        <is>
          <t>50 – RF Cable with Connectors</t>
        </is>
      </c>
    </row>
    <row r="48">
      <c r="B48" t="inlineStr">
        <is>
          <t>C-CPE-BRK</t>
        </is>
      </c>
      <c r="C48" s="6" t="inlineStr">
        <is>
          <t>Mounting Bracket</t>
        </is>
      </c>
      <c r="D48" t="inlineStr">
        <is>
          <t>Each</t>
        </is>
      </c>
      <c r="E48" t="n">
        <v>50</v>
      </c>
      <c r="F48" s="7" t="n">
        <v>15</v>
      </c>
      <c r="G48" s="7">
        <f>E48*F48</f>
        <v/>
      </c>
      <c r="H48" s="7">
        <f>G48*1.3</f>
        <v/>
      </c>
      <c r="I48" s="7">
        <f>H48-G48</f>
        <v/>
      </c>
      <c r="J48" t="n">
        <v>7</v>
      </c>
      <c r="L48" s="8" t="inlineStr">
        <is>
          <t>Premise antenna mounting hardware</t>
        </is>
      </c>
    </row>
    <row r="49">
      <c r="B49" t="inlineStr">
        <is>
          <t>CPE-ETH*</t>
        </is>
      </c>
      <c r="C49" s="6" t="inlineStr">
        <is>
          <t>Ethernet Cable &amp; RJ45 Connectors</t>
        </is>
      </c>
      <c r="D49" t="inlineStr">
        <is>
          <t>Each</t>
        </is>
      </c>
      <c r="E49" t="n">
        <v>50</v>
      </c>
      <c r="F49" s="7" t="n">
        <v>6</v>
      </c>
      <c r="G49" s="7">
        <f>E49*F49</f>
        <v/>
      </c>
      <c r="H49" s="7">
        <f>G49*1.3</f>
        <v/>
      </c>
      <c r="I49" s="7">
        <f>H49-G49</f>
        <v/>
      </c>
      <c r="J49" t="n">
        <v>7</v>
      </c>
      <c r="L49" s="8" t="inlineStr">
        <is>
          <t>*50 – Ethernet cable and RJ45 connectors; estimated by analogy (no dedicated WBS row)</t>
        </is>
      </c>
    </row>
    <row r="50">
      <c r="B50" t="inlineStr">
        <is>
          <t>I-CPE</t>
        </is>
      </c>
      <c r="C50" s="6" t="inlineStr">
        <is>
          <t>Install — Premise Equipment</t>
        </is>
      </c>
      <c r="D50" t="inlineStr">
        <is>
          <t>Each</t>
        </is>
      </c>
      <c r="E50" t="n">
        <v>50</v>
      </c>
      <c r="F50" s="7" t="n">
        <v>300</v>
      </c>
      <c r="G50" s="7">
        <f>E50*F50</f>
        <v/>
      </c>
      <c r="H50" s="7">
        <f>G50*1.3</f>
        <v/>
      </c>
      <c r="I50" s="7">
        <f>H50-G50</f>
        <v/>
      </c>
      <c r="J50" t="n">
        <v>10</v>
      </c>
      <c r="K50" t="n">
        <v>300</v>
      </c>
      <c r="L50" s="8" t="inlineStr">
        <is>
          <t>Installation of equipment (premise); duration is crew-adjusted (2-person crew, ~5 installs/day) — NOT a simple x50 of the WBS per-unit day figure; effort hours (300 = 6 hrs x 50) do scale linearly</t>
        </is>
      </c>
    </row>
    <row r="51">
      <c r="B51" t="inlineStr">
        <is>
          <t>S-CPE</t>
        </is>
      </c>
      <c r="C51" s="6" t="inlineStr">
        <is>
          <t>Startup — Premise Equipment (batch commissioning)</t>
        </is>
      </c>
      <c r="D51" t="inlineStr">
        <is>
          <t>Each</t>
        </is>
      </c>
      <c r="E51" t="n">
        <v>1</v>
      </c>
      <c r="F51" s="7" t="n">
        <v>1200</v>
      </c>
      <c r="G51" s="7">
        <f>E51*F51</f>
        <v/>
      </c>
      <c r="H51" s="7">
        <f>G51*1.3</f>
        <v/>
      </c>
      <c r="I51" s="7">
        <f>H51-G51</f>
        <v/>
      </c>
      <c r="J51" t="n">
        <v>3</v>
      </c>
      <c r="K51" t="n">
        <v>24</v>
      </c>
      <c r="L51" s="8" t="inlineStr">
        <is>
          <t>Installed on-site testing across all 50 premises (single batch commissioning task)</t>
        </is>
      </c>
    </row>
    <row r="52">
      <c r="B52" s="20" t="n"/>
      <c r="C52" s="21" t="inlineStr">
        <is>
          <t>Subtotal — Premise Equipment</t>
        </is>
      </c>
      <c r="D52" s="20" t="n"/>
      <c r="E52" s="20" t="n"/>
      <c r="F52" s="20" t="n"/>
      <c r="G52" s="22">
        <f>SUM(G45:G51)</f>
        <v/>
      </c>
      <c r="H52" s="22">
        <f>SUM(H45:H51)</f>
        <v/>
      </c>
      <c r="I52" s="22">
        <f>SUM(I45:I51)</f>
        <v/>
      </c>
      <c r="J52" s="21">
        <f>MAX(J45:J51)</f>
        <v/>
      </c>
      <c r="K52" s="21">
        <f>SUM(K45:K51)</f>
        <v/>
      </c>
      <c r="L52" s="20" t="n"/>
    </row>
    <row r="54">
      <c r="B54" s="18" t="n"/>
      <c r="C54" s="19" t="inlineStr">
        <is>
          <t>Installation &amp; Commissioning — Supporting Items</t>
        </is>
      </c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</row>
    <row r="55">
      <c r="B55" t="inlineStr">
        <is>
          <t>SFTY-EQP*</t>
        </is>
      </c>
      <c r="C55" s="6" t="inlineStr">
        <is>
          <t>Safety Climbing Equipment (rental/consumables)</t>
        </is>
      </c>
      <c r="D55" t="inlineStr">
        <is>
          <t>Each</t>
        </is>
      </c>
      <c r="E55" t="n">
        <v>1</v>
      </c>
      <c r="F55" s="7" t="n">
        <v>250</v>
      </c>
      <c r="G55" s="7">
        <f>E55*F55</f>
        <v/>
      </c>
      <c r="H55" s="7">
        <f>G55*1.3</f>
        <v/>
      </c>
      <c r="I55" s="7">
        <f>H55-G55</f>
        <v/>
      </c>
      <c r="J55" t="n">
        <v>2</v>
      </c>
      <c r="L55" s="8" t="inlineStr">
        <is>
          <t>*Safety climbing equipment; estimated by analogy (no dedicated WBS row)</t>
        </is>
      </c>
    </row>
    <row r="56">
      <c r="B56" t="inlineStr">
        <is>
          <t>TOOLS-INS*</t>
        </is>
      </c>
      <c r="C56" s="6" t="inlineStr">
        <is>
          <t>Installation Tools &amp; Consumables</t>
        </is>
      </c>
      <c r="D56" t="inlineStr">
        <is>
          <t>Each</t>
        </is>
      </c>
      <c r="E56" t="n">
        <v>1</v>
      </c>
      <c r="F56" s="7" t="n">
        <v>150</v>
      </c>
      <c r="G56" s="7">
        <f>E56*F56</f>
        <v/>
      </c>
      <c r="H56" s="7">
        <f>G56*1.3</f>
        <v/>
      </c>
      <c r="I56" s="7">
        <f>H56-G56</f>
        <v/>
      </c>
      <c r="J56" t="n">
        <v>2</v>
      </c>
      <c r="L56" s="8" t="inlineStr">
        <is>
          <t>*Tools for installation; estimated by analogy (no dedicated WBS row)</t>
        </is>
      </c>
    </row>
    <row r="57">
      <c r="B57" s="20" t="n"/>
      <c r="C57" s="21" t="inlineStr">
        <is>
          <t>Subtotal — Installation &amp; Commissioning (Supporting Items)</t>
        </is>
      </c>
      <c r="D57" s="20" t="n"/>
      <c r="E57" s="20" t="n"/>
      <c r="F57" s="20" t="n"/>
      <c r="G57" s="22">
        <f>SUM(G55:G56)</f>
        <v/>
      </c>
      <c r="H57" s="22">
        <f>SUM(H55:H56)</f>
        <v/>
      </c>
      <c r="I57" s="22">
        <f>SUM(I55:I56)</f>
        <v/>
      </c>
      <c r="J57" s="21">
        <f>MAX(J55:J56)</f>
        <v/>
      </c>
      <c r="K57" s="21">
        <f>SUM(K55:K56)</f>
        <v/>
      </c>
      <c r="L57" s="20" t="n"/>
    </row>
    <row r="59">
      <c r="C59" s="12" t="inlineStr">
        <is>
          <t>Note: per-subsystem install/startup ('installation of equipment', 'on-the-ground / installed on-site testing') costs are itemized within Base Station, Wired Network and Premise Equipment above.</t>
        </is>
      </c>
    </row>
    <row r="60">
      <c r="B60" s="18" t="n"/>
      <c r="C60" s="19" t="inlineStr">
        <is>
          <t>Training</t>
        </is>
      </c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</row>
    <row r="61">
      <c r="B61" t="inlineStr">
        <is>
          <t>TRN-OJT</t>
        </is>
      </c>
      <c r="C61" s="6" t="inlineStr">
        <is>
          <t>On-Site Training (customer personnel, 4-hr course)</t>
        </is>
      </c>
      <c r="D61" t="inlineStr">
        <is>
          <t>Each</t>
        </is>
      </c>
      <c r="E61" t="n">
        <v>1</v>
      </c>
      <c r="F61" s="7" t="n">
        <v>200</v>
      </c>
      <c r="G61" s="7">
        <f>E61*F61</f>
        <v/>
      </c>
      <c r="H61" s="7">
        <f>G61*1.3</f>
        <v/>
      </c>
      <c r="I61" s="7">
        <f>H61-G61</f>
        <v/>
      </c>
      <c r="J61" t="n">
        <v>1</v>
      </c>
      <c r="K61" t="n">
        <v>4</v>
      </c>
      <c r="L61" s="8" t="inlineStr">
        <is>
          <t>One-time local training course, 4 hours (Scope of Supply — Support Details). Training manual costed under Engineering (E-TMN)</t>
        </is>
      </c>
    </row>
    <row r="62">
      <c r="B62" s="20" t="n"/>
      <c r="C62" s="21" t="inlineStr">
        <is>
          <t>Subtotal — Training</t>
        </is>
      </c>
      <c r="D62" s="20" t="n"/>
      <c r="E62" s="20" t="n"/>
      <c r="F62" s="20" t="n"/>
      <c r="G62" s="22">
        <f>SUM(G61:G61)</f>
        <v/>
      </c>
      <c r="H62" s="22">
        <f>SUM(H61:H61)</f>
        <v/>
      </c>
      <c r="I62" s="22">
        <f>SUM(I61:I61)</f>
        <v/>
      </c>
      <c r="J62" s="21">
        <f>MAX(J61:J61)</f>
        <v/>
      </c>
      <c r="K62" s="21">
        <f>SUM(K61:K61)</f>
        <v/>
      </c>
      <c r="L62" s="20" t="n"/>
    </row>
    <row r="64">
      <c r="B64" s="18" t="n"/>
      <c r="C64" s="19" t="inlineStr">
        <is>
          <t>Support (2-Month Included Period)</t>
        </is>
      </c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</row>
    <row r="65">
      <c r="B65" t="inlineStr">
        <is>
          <t>T-WAP</t>
        </is>
      </c>
      <c r="C65" s="6" t="inlineStr">
        <is>
          <t>Support — Wireless Access Point</t>
        </is>
      </c>
      <c r="D65" t="inlineStr">
        <is>
          <t>Each</t>
        </is>
      </c>
      <c r="E65" t="n">
        <v>1</v>
      </c>
      <c r="F65" s="7" t="n">
        <v>200</v>
      </c>
      <c r="G65" s="7">
        <f>E65*F65</f>
        <v/>
      </c>
      <c r="H65" s="7">
        <f>G65*1.3</f>
        <v/>
      </c>
      <c r="I65" s="7">
        <f>H65-G65</f>
        <v/>
      </c>
      <c r="J65" t="n">
        <v>1</v>
      </c>
      <c r="K65" t="n">
        <v>4</v>
      </c>
      <c r="L65" s="8" t="inlineStr">
        <is>
          <t>24/7 technical support</t>
        </is>
      </c>
    </row>
    <row r="66">
      <c r="B66" t="inlineStr">
        <is>
          <t>T-BCU</t>
        </is>
      </c>
      <c r="C66" s="6" t="inlineStr">
        <is>
          <t>Support — Bandwidth Control Unit</t>
        </is>
      </c>
      <c r="D66" t="inlineStr">
        <is>
          <t>Each</t>
        </is>
      </c>
      <c r="E66" t="n">
        <v>1</v>
      </c>
      <c r="F66" s="7" t="n">
        <v>200</v>
      </c>
      <c r="G66" s="7">
        <f>E66*F66</f>
        <v/>
      </c>
      <c r="H66" s="7">
        <f>G66*1.3</f>
        <v/>
      </c>
      <c r="I66" s="7">
        <f>H66-G66</f>
        <v/>
      </c>
      <c r="J66" t="n">
        <v>1</v>
      </c>
      <c r="K66" t="n">
        <v>4</v>
      </c>
      <c r="L66" s="8" t="inlineStr">
        <is>
          <t>24/7 technical support</t>
        </is>
      </c>
    </row>
    <row r="67">
      <c r="B67" t="inlineStr">
        <is>
          <t>T-CSW</t>
        </is>
      </c>
      <c r="C67" s="6" t="inlineStr">
        <is>
          <t>Support — Computer Software</t>
        </is>
      </c>
      <c r="D67" t="inlineStr">
        <is>
          <t>Each</t>
        </is>
      </c>
      <c r="E67" t="n">
        <v>1</v>
      </c>
      <c r="F67" s="7" t="n">
        <v>200</v>
      </c>
      <c r="G67" s="7">
        <f>E67*F67</f>
        <v/>
      </c>
      <c r="H67" s="7">
        <f>G67*1.3</f>
        <v/>
      </c>
      <c r="I67" s="7">
        <f>H67-G67</f>
        <v/>
      </c>
      <c r="J67" t="n">
        <v>1</v>
      </c>
      <c r="K67" t="n">
        <v>4</v>
      </c>
      <c r="L67" s="8" t="inlineStr">
        <is>
          <t>24/7 technical support</t>
        </is>
      </c>
    </row>
    <row r="68">
      <c r="B68" t="inlineStr">
        <is>
          <t>T-RTR</t>
        </is>
      </c>
      <c r="C68" s="6" t="inlineStr">
        <is>
          <t>Support — Router</t>
        </is>
      </c>
      <c r="D68" t="inlineStr">
        <is>
          <t>Each</t>
        </is>
      </c>
      <c r="E68" t="n">
        <v>1</v>
      </c>
      <c r="F68" s="7" t="n">
        <v>200</v>
      </c>
      <c r="G68" s="7">
        <f>E68*F68</f>
        <v/>
      </c>
      <c r="H68" s="7">
        <f>G68*1.3</f>
        <v/>
      </c>
      <c r="I68" s="7">
        <f>H68-G68</f>
        <v/>
      </c>
      <c r="J68" t="n">
        <v>1</v>
      </c>
      <c r="K68" t="n">
        <v>4</v>
      </c>
      <c r="L68" s="8" t="inlineStr">
        <is>
          <t>24/7 technical support</t>
        </is>
      </c>
    </row>
    <row r="69">
      <c r="B69" t="inlineStr">
        <is>
          <t>T-CWD</t>
        </is>
      </c>
      <c r="C69" s="6" t="inlineStr">
        <is>
          <t>Support — Customer Wireless Device (fleet)</t>
        </is>
      </c>
      <c r="D69" t="inlineStr">
        <is>
          <t>Each</t>
        </is>
      </c>
      <c r="E69" t="n">
        <v>1</v>
      </c>
      <c r="F69" s="7" t="n">
        <v>100</v>
      </c>
      <c r="G69" s="7">
        <f>E69*F69</f>
        <v/>
      </c>
      <c r="H69" s="7">
        <f>G69*1.3</f>
        <v/>
      </c>
      <c r="I69" s="7">
        <f>H69-G69</f>
        <v/>
      </c>
      <c r="J69" t="n">
        <v>1</v>
      </c>
      <c r="K69" t="n">
        <v>2</v>
      </c>
      <c r="L69" s="8" t="inlineStr">
        <is>
          <t>24/7 technical support</t>
        </is>
      </c>
    </row>
    <row r="70">
      <c r="B70" t="inlineStr">
        <is>
          <t>T-SPT</t>
        </is>
      </c>
      <c r="C70" s="6" t="inlineStr">
        <is>
          <t>Support — General (24/7 coordination + telephone support)</t>
        </is>
      </c>
      <c r="D70" t="inlineStr">
        <is>
          <t>Each</t>
        </is>
      </c>
      <c r="E70" t="n">
        <v>1</v>
      </c>
      <c r="F70" s="7" t="n">
        <v>400</v>
      </c>
      <c r="G70" s="7">
        <f>E70*F70</f>
        <v/>
      </c>
      <c r="H70" s="7">
        <f>G70*1.3</f>
        <v/>
      </c>
      <c r="I70" s="7">
        <f>H70-G70</f>
        <v/>
      </c>
      <c r="J70" t="n">
        <v>1</v>
      </c>
      <c r="K70" t="n">
        <v>8</v>
      </c>
      <c r="L70" s="8" t="inlineStr">
        <is>
          <t>Two months telephone support and remote administration included</t>
        </is>
      </c>
    </row>
    <row r="71">
      <c r="B71" s="20" t="n"/>
      <c r="C71" s="21" t="inlineStr">
        <is>
          <t>Subtotal — Support (2-Month Included Period)</t>
        </is>
      </c>
      <c r="D71" s="20" t="n"/>
      <c r="E71" s="20" t="n"/>
      <c r="F71" s="20" t="n"/>
      <c r="G71" s="22">
        <f>SUM(G65:G70)</f>
        <v/>
      </c>
      <c r="H71" s="22">
        <f>SUM(H65:H70)</f>
        <v/>
      </c>
      <c r="I71" s="22">
        <f>SUM(I65:I70)</f>
        <v/>
      </c>
      <c r="J71" s="21">
        <f>MAX(J65:J70)</f>
        <v/>
      </c>
      <c r="K71" s="21">
        <f>SUM(K65:K70)</f>
        <v/>
      </c>
      <c r="L71" s="20" t="n"/>
    </row>
    <row r="73" ht="20" customHeight="1">
      <c r="B73" s="23" t="n"/>
      <c r="C73" s="24" t="inlineStr">
        <is>
          <t>TOTAL — SUPPLY, INSTALL &amp; COMMISSION</t>
        </is>
      </c>
      <c r="D73" s="23" t="n"/>
      <c r="E73" s="23" t="n"/>
      <c r="F73" s="23" t="n"/>
      <c r="G73" s="25">
        <f>G18+G32+G42+G52+G57+G62+G71</f>
        <v/>
      </c>
      <c r="H73" s="25">
        <f>H18+H32+H42+H52+H57+H62+H71</f>
        <v/>
      </c>
      <c r="I73" s="25">
        <f>I18+I32+I42+I52+I57+I62+I71</f>
        <v/>
      </c>
      <c r="J73" s="23" t="n"/>
      <c r="K73" s="26">
        <f>K18+K32+K42+K52+K57+K62+K71</f>
        <v/>
      </c>
      <c r="L73" s="23" t="n"/>
    </row>
    <row r="75">
      <c r="C75" s="17" t="inlineStr">
        <is>
          <t>Assumptions &amp; Methodology</t>
        </is>
      </c>
    </row>
    <row r="76" ht="28" customHeight="1">
      <c r="C76" s="8" t="inlineStr">
        <is>
          <t>•  Source data: costs, unit prices and standard delivery spans are drawn from WBSWithEstimatesV1.xlsx (internal $400/day = $50/hr labor rate); quantities are drawn from ScopeOfSupplySummary-nwi-last-mile-system.md.</t>
        </is>
      </c>
    </row>
    <row r="77" ht="28" customHeight="1">
      <c r="C77" s="8" t="inlineStr">
        <is>
          <t>•  Lines marked with * have no directly corresponding WBS row and are estimated by analogy to the nearest comparable WBS item, consistent with the source workbook's own Assumptions tab methodology.</t>
        </is>
      </c>
    </row>
    <row r="78" ht="28" customHeight="1">
      <c r="C78" s="8" t="inlineStr">
        <is>
          <t>•  Component (hardware/software) 'Std. Delivery' is vendor lead time for the order as a whole and is NOT multiplied by quantity (bulk ordering 2 or 50 units does not take proportionally longer).</t>
        </is>
      </c>
    </row>
    <row r="79" ht="28" customHeight="1">
      <c r="C79" s="8" t="inlineStr">
        <is>
          <t>•  Installation labor (I-CPE) hours DO scale with quantity (6 hrs/unit x 50 = 300 hrs total labor), but the calendar-day duration is crew-adjusted (assumes a 2-person install crew averaging ~5 premises/day) rather than a literal x50 of the single-unit WBS day figure.</t>
        </is>
      </c>
    </row>
    <row r="80" ht="28" customHeight="1">
      <c r="C80" s="8" t="inlineStr">
        <is>
          <t>•  Startup/commissioning (S-*) rows represent a single batch verification task per subsystem, not a per-unit cost, and are held at Qty 1.</t>
        </is>
      </c>
    </row>
    <row r="81" ht="28" customHeight="1">
      <c r="C81" s="8" t="inlineStr">
        <is>
          <t>•  Cust Cost Total = Our Cost Total x 1.30 (30% standard NWI markup); Profit = Cust Cost Total - Our Cost Total. Adjust the markup assumption in column H formulas as needed for a firm quote.</t>
        </is>
      </c>
    </row>
    <row r="82" ht="28" customHeight="1">
      <c r="C82" s="8" t="inlineStr">
        <is>
          <t>•  Excludes: emergency backup power, firewalls, ISP services, spares, full tower/mast structure (bracket-mount only), NIC, and client VPN/encryption configuration — per Scope of Supply Summary Exclusions.</t>
        </is>
      </c>
    </row>
    <row r="83" ht="28" customHeight="1">
      <c r="C83" s="8" t="inlineStr">
        <is>
          <t>•  Figures are mock/ballpark planning estimates only and should be validated against current vendor quotes and labor rates before use in a firm customer quote.</t>
        </is>
      </c>
    </row>
  </sheetData>
  <mergeCells count="8">
    <mergeCell ref="C76:L76"/>
    <mergeCell ref="C80:L80"/>
    <mergeCell ref="C79:L79"/>
    <mergeCell ref="C78:L78"/>
    <mergeCell ref="C82:L82"/>
    <mergeCell ref="C77:L77"/>
    <mergeCell ref="C83:L83"/>
    <mergeCell ref="C81:L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2026-07-15T20:12:02Z</dcterms:created>
  <dcterms:modified xsi:type="dcterms:W3CDTF">2026-07-15T20:12:48Z</dcterms:modified>
</cp:coreProperties>
</file>